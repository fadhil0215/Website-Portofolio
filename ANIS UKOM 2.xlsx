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INFORMATIKA 2\"/>
    </mc:Choice>
  </mc:AlternateContent>
  <xr:revisionPtr revIDLastSave="0" documentId="8_{0D415019-F951-46AF-8C62-3B183B03BEE7}" xr6:coauthVersionLast="47" xr6:coauthVersionMax="47" xr10:uidLastSave="{00000000-0000-0000-0000-000000000000}"/>
  <bookViews>
    <workbookView xWindow="-120" yWindow="-120" windowWidth="21840" windowHeight="13140" xr2:uid="{FE241100-D659-4DFC-A30C-145358CEF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J8" i="1"/>
  <c r="J9" i="1"/>
  <c r="J10" i="1"/>
  <c r="J11" i="1"/>
  <c r="J12" i="1"/>
  <c r="J13" i="1"/>
  <c r="J14" i="1"/>
  <c r="J15" i="1"/>
  <c r="J16" i="1"/>
  <c r="J7" i="1"/>
  <c r="I8" i="1"/>
  <c r="I9" i="1"/>
  <c r="I10" i="1"/>
  <c r="I11" i="1"/>
  <c r="I12" i="1"/>
  <c r="I13" i="1"/>
  <c r="I14" i="1"/>
  <c r="I15" i="1"/>
  <c r="I16" i="1"/>
  <c r="I7" i="1"/>
  <c r="F8" i="1"/>
  <c r="F9" i="1"/>
  <c r="F10" i="1"/>
  <c r="F11" i="1"/>
  <c r="F12" i="1"/>
  <c r="F13" i="1"/>
  <c r="F14" i="1"/>
  <c r="F15" i="1"/>
  <c r="F16" i="1"/>
  <c r="F7" i="1"/>
  <c r="D8" i="1"/>
  <c r="D9" i="1"/>
  <c r="D10" i="1"/>
  <c r="D11" i="1"/>
  <c r="D12" i="1"/>
  <c r="D13" i="1"/>
  <c r="D14" i="1"/>
  <c r="D15" i="1"/>
  <c r="D16" i="1"/>
  <c r="D7" i="1"/>
  <c r="E8" i="1"/>
  <c r="E9" i="1"/>
  <c r="E10" i="1"/>
  <c r="E11" i="1"/>
  <c r="E12" i="1"/>
  <c r="E13" i="1"/>
  <c r="E14" i="1"/>
  <c r="E15" i="1"/>
  <c r="E16" i="1"/>
  <c r="E7" i="1"/>
</calcChain>
</file>

<file path=xl/sharedStrings.xml><?xml version="1.0" encoding="utf-8"?>
<sst xmlns="http://schemas.openxmlformats.org/spreadsheetml/2006/main" count="49" uniqueCount="47">
  <si>
    <t>Daftar Nilai Sejarah</t>
  </si>
  <si>
    <t>SMA AMANAT CERDAS BANGSA</t>
  </si>
  <si>
    <t>NO</t>
  </si>
  <si>
    <t>NAMA</t>
  </si>
  <si>
    <t>KODE</t>
  </si>
  <si>
    <t>METODE</t>
  </si>
  <si>
    <t>GROUP</t>
  </si>
  <si>
    <t>TAHUN</t>
  </si>
  <si>
    <t>NILAI</t>
  </si>
  <si>
    <t>MAKALAH</t>
  </si>
  <si>
    <t>Total</t>
  </si>
  <si>
    <t>Nilai Terbesar</t>
  </si>
  <si>
    <t>Nilai terendah</t>
  </si>
  <si>
    <t>Nilai Rata-Rata</t>
  </si>
  <si>
    <t>Jumlah Data</t>
  </si>
  <si>
    <t>Rudi Hartini</t>
  </si>
  <si>
    <t>Verawati</t>
  </si>
  <si>
    <t>Nana Law</t>
  </si>
  <si>
    <t>Ferry Sanafil</t>
  </si>
  <si>
    <t>Alan Budiman</t>
  </si>
  <si>
    <t>Ardy Wiranto</t>
  </si>
  <si>
    <t>Haryanti Arby</t>
  </si>
  <si>
    <t>Lim Swiping</t>
  </si>
  <si>
    <t>Joko Suranto</t>
  </si>
  <si>
    <t>Susui Susanthi</t>
  </si>
  <si>
    <t>P062</t>
  </si>
  <si>
    <t>L061</t>
  </si>
  <si>
    <t>S052</t>
  </si>
  <si>
    <t>M041</t>
  </si>
  <si>
    <t>P051</t>
  </si>
  <si>
    <t>S042</t>
  </si>
  <si>
    <t>S061</t>
  </si>
  <si>
    <t>L052</t>
  </si>
  <si>
    <t>M051</t>
  </si>
  <si>
    <t>P041</t>
  </si>
  <si>
    <t>RISET</t>
  </si>
  <si>
    <t>NILAI AKHIR</t>
  </si>
  <si>
    <t>GRADE</t>
  </si>
  <si>
    <t>Table Bantu</t>
  </si>
  <si>
    <t>M</t>
  </si>
  <si>
    <t>P</t>
  </si>
  <si>
    <t>L</t>
  </si>
  <si>
    <t>S</t>
  </si>
  <si>
    <t>MUSEUM</t>
  </si>
  <si>
    <t>PERPUSTAKAAN</t>
  </si>
  <si>
    <t>LABORATORIUM</t>
  </si>
  <si>
    <t>STUDY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</si>
</sst>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3" tint="0.39997558519241921"/>
      <name val="Algerian"/>
      <family val="5"/>
    </font>
    <font>
      <sz val="16"/>
      <color theme="7" tint="-0.249977111117893"/>
      <name val="Aharoni"/>
      <charset val="177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 indent="6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/>
    <xf numFmtId="0" fontId="0" fillId="2" borderId="0" xfId="0" applyFill="1"/>
    <xf numFmtId="0" fontId="0" fillId="2" borderId="11" xfId="0" applyFill="1" applyBorder="1" applyAlignment="1">
      <alignment horizontal="center"/>
    </xf>
    <xf numFmtId="0" fontId="0" fillId="2" borderId="13" xfId="0" applyFill="1" applyBorder="1"/>
    <xf numFmtId="0" fontId="0" fillId="3" borderId="9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0" xfId="0" applyFill="1" applyBorder="1"/>
    <xf numFmtId="0" fontId="0" fillId="4" borderId="0" xfId="0" applyFill="1"/>
    <xf numFmtId="0" fontId="0" fillId="4" borderId="1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5" borderId="16" xfId="0" applyFill="1" applyBorder="1"/>
    <xf numFmtId="0" fontId="0" fillId="5" borderId="19" xfId="0" applyFill="1" applyBorder="1"/>
    <xf numFmtId="0" fontId="0" fillId="5" borderId="17" xfId="0" applyFill="1" applyBorder="1"/>
    <xf numFmtId="0" fontId="0" fillId="5" borderId="18" xfId="0" applyFill="1" applyBorder="1"/>
    <xf numFmtId="0" fontId="0" fillId="6" borderId="9" xfId="0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3" borderId="12" xfId="0" applyFill="1" applyBorder="1" applyAlignment="1">
      <alignment horizontal="center"/>
    </xf>
    <xf numFmtId="0" fontId="0" fillId="3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00CF-9088-42A3-8543-5B5CDE07CC1E}">
  <dimension ref="A1:J25"/>
  <sheetViews>
    <sheetView tabSelected="1" workbookViewId="0">
      <selection activeCell="N9" sqref="N9"/>
    </sheetView>
  </sheetViews>
  <sheetFormatPr defaultRowHeight="15" x14ac:dyDescent="0.25"/>
  <cols>
    <col min="2" max="2" width="14.5703125" customWidth="1"/>
    <col min="3" max="3" width="9.7109375" customWidth="1"/>
    <col min="4" max="4" width="17" customWidth="1"/>
    <col min="5" max="5" width="16.5703125" customWidth="1"/>
    <col min="6" max="6" width="11.140625" customWidth="1"/>
    <col min="7" max="7" width="12" customWidth="1"/>
    <col min="8" max="8" width="13" customWidth="1"/>
    <col min="9" max="9" width="12.28515625" customWidth="1"/>
    <col min="10" max="10" width="10.28515625" customWidth="1"/>
  </cols>
  <sheetData>
    <row r="1" spans="1:10" ht="20.25" x14ac:dyDescent="0.3">
      <c r="A1" s="28" t="s">
        <v>0</v>
      </c>
    </row>
    <row r="2" spans="1:10" ht="21.75" x14ac:dyDescent="0.35">
      <c r="A2" s="27" t="s">
        <v>1</v>
      </c>
    </row>
    <row r="4" spans="1:10" ht="15.75" thickBot="1" x14ac:dyDescent="0.3"/>
    <row r="5" spans="1:10" ht="15.75" thickBot="1" x14ac:dyDescent="0.3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4" t="s">
        <v>8</v>
      </c>
      <c r="H5" s="5"/>
      <c r="I5" s="3" t="s">
        <v>36</v>
      </c>
      <c r="J5" s="6" t="s">
        <v>37</v>
      </c>
    </row>
    <row r="6" spans="1:10" x14ac:dyDescent="0.25">
      <c r="A6" s="7"/>
      <c r="B6" s="8"/>
      <c r="C6" s="8"/>
      <c r="D6" s="8"/>
      <c r="E6" s="8"/>
      <c r="F6" s="8"/>
      <c r="G6" s="9" t="s">
        <v>35</v>
      </c>
      <c r="H6" s="9" t="s">
        <v>9</v>
      </c>
      <c r="I6" s="8"/>
      <c r="J6" s="10"/>
    </row>
    <row r="7" spans="1:10" x14ac:dyDescent="0.25">
      <c r="A7" s="11">
        <v>1</v>
      </c>
      <c r="B7" s="11" t="s">
        <v>15</v>
      </c>
      <c r="C7" s="11" t="s">
        <v>25</v>
      </c>
      <c r="D7" s="11" t="str">
        <f>IF(LEFT(C7,1)="M","MUSEUM",IF(LEFT(C7,1)="P","PERPUSTAKAAN",IF(LEFT(C7,1)="L","LABORATURIUM",IF(LEFT(C7,1)="S","STUDY TOUR"""))))</f>
        <v>PERPUSTAKAAN</v>
      </c>
      <c r="E7" s="11" t="str">
        <f>IF(RIGHT(C7,1)="1","PERORANGAN",IF(RIGHT(C7,1)="2","KELOMPOK",""))</f>
        <v>KELOMPOK</v>
      </c>
      <c r="F7" s="11" t="str">
        <f>IF(MID(C7,3,1)="4","2004",IF(MID(C7,3,1)="5","2005",IF(MID(C7,3,1)="6","2006","")))</f>
        <v>2006</v>
      </c>
      <c r="G7" s="11">
        <v>85</v>
      </c>
      <c r="H7" s="29">
        <v>90</v>
      </c>
      <c r="I7" s="11">
        <f>0.4*G7+0.6*H7</f>
        <v>88</v>
      </c>
      <c r="J7" s="11" t="str">
        <f>IF(I7&gt;=90,"A",IF(I7&gt;=80,"B",IF(I7&gt;=70,"C",IF(I7&gt;=60,"D","E"))))</f>
        <v>B</v>
      </c>
    </row>
    <row r="8" spans="1:10" x14ac:dyDescent="0.25">
      <c r="A8" s="11">
        <v>2</v>
      </c>
      <c r="B8" s="11" t="s">
        <v>16</v>
      </c>
      <c r="C8" s="11" t="s">
        <v>26</v>
      </c>
      <c r="D8" s="11" t="str">
        <f t="shared" ref="D8:D16" si="0">IF(LEFT(C8,1)="M","MUSEUM",IF(LEFT(C8,1)="P","PERPUSTAKAAN",IF(LEFT(C8,1)="L","LABORATURIUM",IF(LEFT(C8,1)="S","STUDY TOUR"""))))</f>
        <v>LABORATURIUM</v>
      </c>
      <c r="E8" s="11" t="str">
        <f t="shared" ref="E8:E16" si="1">IF(RIGHT(C8,1)="1","PERORANGAN",IF(RIGHT(C8,1)="2","KELOMPOK",""))</f>
        <v>PERORANGAN</v>
      </c>
      <c r="F8" s="11" t="str">
        <f t="shared" ref="F8:F16" si="2">IF(MID(C8,3,1)="4","2004",IF(MID(C8,3,1)="5","2005",IF(MID(C8,3,1)="6","2006","")))</f>
        <v>2006</v>
      </c>
      <c r="G8" s="11">
        <v>80</v>
      </c>
      <c r="H8" s="29">
        <v>50</v>
      </c>
      <c r="I8" s="11">
        <f t="shared" ref="I8:I16" si="3">0.4*G8+0.6*H8</f>
        <v>62</v>
      </c>
      <c r="J8" s="11" t="str">
        <f t="shared" ref="J8:J17" si="4">IF(I8&gt;=90,"A",IF(I8&gt;=80,"B",IF(I8&gt;=70,"C",IF(I8&gt;=60,"D","E"))))</f>
        <v>D</v>
      </c>
    </row>
    <row r="9" spans="1:10" x14ac:dyDescent="0.25">
      <c r="A9" s="11">
        <v>3</v>
      </c>
      <c r="B9" s="11" t="s">
        <v>17</v>
      </c>
      <c r="C9" s="11" t="s">
        <v>27</v>
      </c>
      <c r="D9" s="11" t="str">
        <f t="shared" si="0"/>
        <v>STUDY TOUR"</v>
      </c>
      <c r="E9" s="11" t="str">
        <f t="shared" si="1"/>
        <v>KELOMPOK</v>
      </c>
      <c r="F9" s="11" t="str">
        <f t="shared" si="2"/>
        <v>2005</v>
      </c>
      <c r="G9" s="11">
        <v>75</v>
      </c>
      <c r="H9" s="29">
        <v>75</v>
      </c>
      <c r="I9" s="11">
        <f t="shared" si="3"/>
        <v>75</v>
      </c>
      <c r="J9" s="11" t="str">
        <f t="shared" si="4"/>
        <v>C</v>
      </c>
    </row>
    <row r="10" spans="1:10" x14ac:dyDescent="0.25">
      <c r="A10" s="11">
        <v>4</v>
      </c>
      <c r="B10" s="11" t="s">
        <v>18</v>
      </c>
      <c r="C10" s="11" t="s">
        <v>28</v>
      </c>
      <c r="D10" s="11" t="str">
        <f t="shared" si="0"/>
        <v>MUSEUM</v>
      </c>
      <c r="E10" s="11" t="str">
        <f t="shared" si="1"/>
        <v>PERORANGAN</v>
      </c>
      <c r="F10" s="11" t="str">
        <f t="shared" si="2"/>
        <v>2004</v>
      </c>
      <c r="G10" s="11">
        <v>70</v>
      </c>
      <c r="H10" s="29">
        <v>70</v>
      </c>
      <c r="I10" s="11">
        <f t="shared" si="3"/>
        <v>70</v>
      </c>
      <c r="J10" s="11" t="str">
        <f t="shared" si="4"/>
        <v>C</v>
      </c>
    </row>
    <row r="11" spans="1:10" x14ac:dyDescent="0.25">
      <c r="A11" s="11">
        <v>5</v>
      </c>
      <c r="B11" s="11" t="s">
        <v>19</v>
      </c>
      <c r="C11" s="11" t="s">
        <v>29</v>
      </c>
      <c r="D11" s="11" t="str">
        <f t="shared" si="0"/>
        <v>PERPUSTAKAAN</v>
      </c>
      <c r="E11" s="11" t="str">
        <f t="shared" si="1"/>
        <v>PERORANGAN</v>
      </c>
      <c r="F11" s="11" t="str">
        <f t="shared" si="2"/>
        <v>2005</v>
      </c>
      <c r="G11" s="11">
        <v>55</v>
      </c>
      <c r="H11" s="29">
        <v>60</v>
      </c>
      <c r="I11" s="11">
        <f t="shared" si="3"/>
        <v>58</v>
      </c>
      <c r="J11" s="11" t="str">
        <f t="shared" si="4"/>
        <v>E</v>
      </c>
    </row>
    <row r="12" spans="1:10" x14ac:dyDescent="0.25">
      <c r="A12" s="11">
        <v>6</v>
      </c>
      <c r="B12" s="11" t="s">
        <v>20</v>
      </c>
      <c r="C12" s="11" t="s">
        <v>30</v>
      </c>
      <c r="D12" s="11" t="str">
        <f t="shared" si="0"/>
        <v>STUDY TOUR"</v>
      </c>
      <c r="E12" s="11" t="str">
        <f t="shared" si="1"/>
        <v>KELOMPOK</v>
      </c>
      <c r="F12" s="11" t="str">
        <f t="shared" si="2"/>
        <v>2004</v>
      </c>
      <c r="G12" s="11">
        <v>85</v>
      </c>
      <c r="H12" s="29">
        <v>95</v>
      </c>
      <c r="I12" s="11">
        <f t="shared" si="3"/>
        <v>91</v>
      </c>
      <c r="J12" s="11" t="str">
        <f t="shared" si="4"/>
        <v>A</v>
      </c>
    </row>
    <row r="13" spans="1:10" x14ac:dyDescent="0.25">
      <c r="A13" s="11">
        <v>7</v>
      </c>
      <c r="B13" s="11" t="s">
        <v>21</v>
      </c>
      <c r="C13" s="11" t="s">
        <v>31</v>
      </c>
      <c r="D13" s="11" t="str">
        <f t="shared" si="0"/>
        <v>STUDY TOUR"</v>
      </c>
      <c r="E13" s="11" t="str">
        <f t="shared" si="1"/>
        <v>PERORANGAN</v>
      </c>
      <c r="F13" s="11" t="str">
        <f t="shared" si="2"/>
        <v>2006</v>
      </c>
      <c r="G13" s="11">
        <v>70</v>
      </c>
      <c r="H13" s="29">
        <v>80</v>
      </c>
      <c r="I13" s="11">
        <f t="shared" si="3"/>
        <v>76</v>
      </c>
      <c r="J13" s="11" t="str">
        <f t="shared" si="4"/>
        <v>C</v>
      </c>
    </row>
    <row r="14" spans="1:10" x14ac:dyDescent="0.25">
      <c r="A14" s="11">
        <v>8</v>
      </c>
      <c r="B14" s="11" t="s">
        <v>22</v>
      </c>
      <c r="C14" s="11" t="s">
        <v>32</v>
      </c>
      <c r="D14" s="11" t="str">
        <f t="shared" si="0"/>
        <v>LABORATURIUM</v>
      </c>
      <c r="E14" s="11" t="str">
        <f t="shared" si="1"/>
        <v>KELOMPOK</v>
      </c>
      <c r="F14" s="11" t="str">
        <f t="shared" si="2"/>
        <v>2005</v>
      </c>
      <c r="G14" s="11">
        <v>50</v>
      </c>
      <c r="H14" s="29">
        <v>85</v>
      </c>
      <c r="I14" s="11">
        <f t="shared" si="3"/>
        <v>71</v>
      </c>
      <c r="J14" s="11" t="str">
        <f t="shared" si="4"/>
        <v>C</v>
      </c>
    </row>
    <row r="15" spans="1:10" x14ac:dyDescent="0.25">
      <c r="A15" s="11">
        <v>9</v>
      </c>
      <c r="B15" s="11" t="s">
        <v>23</v>
      </c>
      <c r="C15" s="11" t="s">
        <v>33</v>
      </c>
      <c r="D15" s="11" t="str">
        <f t="shared" si="0"/>
        <v>MUSEUM</v>
      </c>
      <c r="E15" s="11" t="str">
        <f t="shared" si="1"/>
        <v>PERORANGAN</v>
      </c>
      <c r="F15" s="11" t="str">
        <f t="shared" si="2"/>
        <v>2005</v>
      </c>
      <c r="G15" s="11">
        <v>65</v>
      </c>
      <c r="H15" s="29">
        <v>75</v>
      </c>
      <c r="I15" s="11">
        <f t="shared" si="3"/>
        <v>71</v>
      </c>
      <c r="J15" s="11" t="str">
        <f t="shared" si="4"/>
        <v>C</v>
      </c>
    </row>
    <row r="16" spans="1:10" ht="15.75" thickBot="1" x14ac:dyDescent="0.3">
      <c r="A16" s="12">
        <v>10</v>
      </c>
      <c r="B16" s="12" t="s">
        <v>24</v>
      </c>
      <c r="C16" s="12" t="s">
        <v>34</v>
      </c>
      <c r="D16" s="11" t="str">
        <f t="shared" si="0"/>
        <v>PERPUSTAKAAN</v>
      </c>
      <c r="E16" s="11" t="str">
        <f t="shared" si="1"/>
        <v>PERORANGAN</v>
      </c>
      <c r="F16" s="11" t="str">
        <f t="shared" si="2"/>
        <v>2004</v>
      </c>
      <c r="G16" s="12">
        <v>45</v>
      </c>
      <c r="H16" s="30">
        <v>50</v>
      </c>
      <c r="I16" s="12">
        <f t="shared" si="3"/>
        <v>48</v>
      </c>
      <c r="J16" s="11" t="str">
        <f t="shared" si="4"/>
        <v>E</v>
      </c>
    </row>
    <row r="17" spans="1:10" ht="15.75" thickBot="1" x14ac:dyDescent="0.3">
      <c r="A17" s="13" t="s">
        <v>10</v>
      </c>
      <c r="B17" s="14"/>
      <c r="C17" s="14"/>
      <c r="D17" s="14"/>
      <c r="E17" s="14"/>
      <c r="F17" s="14"/>
      <c r="G17" s="14"/>
      <c r="H17" s="15"/>
      <c r="I17" s="22">
        <f>SUM(I7:I16)</f>
        <v>710</v>
      </c>
      <c r="J17" s="1"/>
    </row>
    <row r="18" spans="1:10" x14ac:dyDescent="0.25">
      <c r="A18" s="16" t="s">
        <v>11</v>
      </c>
      <c r="B18" s="17"/>
      <c r="C18" s="17"/>
      <c r="D18" s="17"/>
      <c r="E18" s="17"/>
      <c r="F18" s="17"/>
      <c r="G18" s="17"/>
      <c r="H18" s="18"/>
      <c r="I18" s="23">
        <f>MAX(I7:I16)</f>
        <v>91</v>
      </c>
    </row>
    <row r="19" spans="1:10" x14ac:dyDescent="0.25">
      <c r="A19" s="16" t="s">
        <v>12</v>
      </c>
      <c r="B19" s="17"/>
      <c r="C19" s="17"/>
      <c r="D19" s="17"/>
      <c r="E19" s="17"/>
      <c r="F19" s="17"/>
      <c r="G19" s="17"/>
      <c r="H19" s="18"/>
      <c r="I19" s="24">
        <f>MIN(I7:I16)</f>
        <v>48</v>
      </c>
    </row>
    <row r="20" spans="1:10" x14ac:dyDescent="0.25">
      <c r="A20" s="16" t="s">
        <v>13</v>
      </c>
      <c r="B20" s="17"/>
      <c r="C20" s="17"/>
      <c r="D20" s="17"/>
      <c r="E20" s="17"/>
      <c r="F20" s="17"/>
      <c r="G20" s="17"/>
      <c r="H20" s="18"/>
      <c r="I20" s="24">
        <f>AVERAGE(I7:I16)</f>
        <v>71</v>
      </c>
    </row>
    <row r="21" spans="1:10" ht="15.75" thickBot="1" x14ac:dyDescent="0.3">
      <c r="A21" s="19" t="s">
        <v>14</v>
      </c>
      <c r="B21" s="20"/>
      <c r="C21" s="20"/>
      <c r="D21" s="20"/>
      <c r="E21" s="20"/>
      <c r="F21" s="20"/>
      <c r="G21" s="20"/>
      <c r="H21" s="21"/>
      <c r="I21" s="25">
        <f>COUNT(I7:I16)</f>
        <v>10</v>
      </c>
    </row>
    <row r="23" spans="1:10" x14ac:dyDescent="0.25">
      <c r="B23" s="26" t="s">
        <v>38</v>
      </c>
      <c r="C23" s="26"/>
      <c r="D23" s="26"/>
      <c r="E23" s="26"/>
      <c r="F23" s="26"/>
    </row>
    <row r="24" spans="1:10" x14ac:dyDescent="0.25">
      <c r="B24" s="26" t="s">
        <v>4</v>
      </c>
      <c r="C24" s="26" t="s">
        <v>39</v>
      </c>
      <c r="D24" s="26" t="s">
        <v>40</v>
      </c>
      <c r="E24" s="26" t="s">
        <v>41</v>
      </c>
      <c r="F24" s="26" t="s">
        <v>42</v>
      </c>
    </row>
    <row r="25" spans="1:10" x14ac:dyDescent="0.25">
      <c r="B25" s="26" t="s">
        <v>5</v>
      </c>
      <c r="C25" s="26" t="s">
        <v>43</v>
      </c>
      <c r="D25" s="26" t="s">
        <v>44</v>
      </c>
      <c r="E25" s="26" t="s">
        <v>45</v>
      </c>
      <c r="F25" s="2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2025-05-07T06:35:04Z</dcterms:created>
  <dcterms:modified xsi:type="dcterms:W3CDTF">2025-05-08T06:07:37Z</dcterms:modified>
</cp:coreProperties>
</file>