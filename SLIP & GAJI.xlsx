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RMATIKA 2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D18" i="1"/>
  <c r="C18" i="1"/>
  <c r="E16" i="1"/>
  <c r="E15" i="1"/>
  <c r="E14" i="1"/>
  <c r="E13" i="1"/>
  <c r="E12" i="1"/>
  <c r="E11" i="1"/>
  <c r="E10" i="1"/>
  <c r="E9" i="1"/>
  <c r="E8" i="1"/>
  <c r="E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<sst xmlns="http://schemas.openxmlformats.org/spreadsheetml/2006/main" count="22" uniqueCount="19">
  <si>
    <t>NO</t>
  </si>
  <si>
    <t>NAMA PEGAWAI</t>
  </si>
  <si>
    <t>GOL</t>
  </si>
  <si>
    <t>GAJI</t>
  </si>
  <si>
    <t>TUNJANGAN</t>
  </si>
  <si>
    <t>BARAKUDA</t>
  </si>
  <si>
    <t>DESANTIKA</t>
  </si>
  <si>
    <t>FERINUGRAHA</t>
  </si>
  <si>
    <t>ESTIMURTI</t>
  </si>
  <si>
    <t>SALSABILA</t>
  </si>
  <si>
    <t>GERALDIN</t>
  </si>
  <si>
    <t>BERNADI</t>
  </si>
  <si>
    <t>TARAKANITA</t>
  </si>
  <si>
    <t>DEVIANDIRA</t>
  </si>
  <si>
    <t>ERNANOVITA</t>
  </si>
  <si>
    <t>TOTAL</t>
  </si>
  <si>
    <t>PT.FAJAR GEMILANG SENTOSA</t>
  </si>
  <si>
    <t>DAFTAR GAJI DAN TUNJANGAN</t>
  </si>
  <si>
    <t>UNTUK LEVEL KARYAWAN BIASA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</si>
</sst>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workbookViewId="0">
      <selection activeCell="B1" sqref="B1"/>
    </sheetView>
  </sheetViews>
  <sheetFormatPr defaultRowHeight="15" x14ac:dyDescent="0.25"/>
  <cols>
    <col min="1" max="1" width="12.28515625" customWidth="1"/>
    <col min="2" max="2" width="16.28515625" customWidth="1"/>
    <col min="3" max="3" width="10.5703125" customWidth="1"/>
    <col min="5" max="5" width="12.7109375" customWidth="1"/>
    <col min="8" max="8" width="11.28515625" bestFit="1" customWidth="1"/>
    <col min="9" max="9" width="12.5703125" customWidth="1"/>
  </cols>
  <sheetData>
    <row r="1" spans="1:9" x14ac:dyDescent="0.25">
      <c r="A1" t="s">
        <v>16</v>
      </c>
    </row>
    <row r="2" spans="1:9" x14ac:dyDescent="0.25">
      <c r="A2" t="s">
        <v>17</v>
      </c>
    </row>
    <row r="3" spans="1:9" x14ac:dyDescent="0.25">
      <c r="A3" t="s">
        <v>18</v>
      </c>
    </row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G5" s="1" t="s">
        <v>2</v>
      </c>
      <c r="H5" s="1" t="s">
        <v>3</v>
      </c>
      <c r="I5" s="1" t="s">
        <v>4</v>
      </c>
    </row>
    <row r="6" spans="1:9" x14ac:dyDescent="0.25">
      <c r="A6" s="1"/>
      <c r="B6" s="1"/>
      <c r="C6" s="1"/>
      <c r="D6" s="1"/>
      <c r="E6" s="1"/>
      <c r="G6" s="1">
        <v>1</v>
      </c>
      <c r="H6" s="2">
        <v>200000</v>
      </c>
      <c r="I6" s="2">
        <v>50000</v>
      </c>
    </row>
    <row r="7" spans="1:9" x14ac:dyDescent="0.25">
      <c r="A7" s="1">
        <v>1</v>
      </c>
      <c r="B7" s="1" t="s">
        <v>5</v>
      </c>
      <c r="C7" s="1">
        <v>2</v>
      </c>
      <c r="D7" s="1">
        <f>VLOOKUP(C7,G6:I10,2)</f>
        <v>250000</v>
      </c>
      <c r="E7" s="1">
        <f>VLOOKUP(C7,G6:I10,3)</f>
        <v>100000</v>
      </c>
      <c r="G7" s="1">
        <v>2</v>
      </c>
      <c r="H7" s="2">
        <v>250000</v>
      </c>
      <c r="I7" s="2">
        <v>100000</v>
      </c>
    </row>
    <row r="8" spans="1:9" x14ac:dyDescent="0.25">
      <c r="A8" s="1">
        <v>2</v>
      </c>
      <c r="B8" s="1" t="s">
        <v>6</v>
      </c>
      <c r="C8" s="1">
        <v>3</v>
      </c>
      <c r="D8" s="1">
        <f>VLOOKUP(C8,G6:I10,2)</f>
        <v>300000</v>
      </c>
      <c r="E8" s="1">
        <f>VLOOKUP(C8,G6:I10,3)</f>
        <v>150000</v>
      </c>
      <c r="G8" s="1">
        <v>3</v>
      </c>
      <c r="H8" s="2">
        <v>300000</v>
      </c>
      <c r="I8" s="2">
        <v>150000</v>
      </c>
    </row>
    <row r="9" spans="1:9" x14ac:dyDescent="0.25">
      <c r="A9" s="1">
        <v>3</v>
      </c>
      <c r="B9" s="1" t="s">
        <v>7</v>
      </c>
      <c r="C9" s="1">
        <v>1</v>
      </c>
      <c r="D9" s="1">
        <f>VLOOKUP(C9,G6:I10,2)</f>
        <v>200000</v>
      </c>
      <c r="E9" s="1">
        <f>VLOOKUP(C9,G6:I9,3)</f>
        <v>50000</v>
      </c>
      <c r="G9" s="1">
        <v>4</v>
      </c>
      <c r="H9" s="2">
        <v>350000</v>
      </c>
      <c r="I9" s="2">
        <v>200000</v>
      </c>
    </row>
    <row r="10" spans="1:9" x14ac:dyDescent="0.25">
      <c r="A10" s="1">
        <v>4</v>
      </c>
      <c r="B10" s="1" t="s">
        <v>8</v>
      </c>
      <c r="C10" s="1">
        <v>4</v>
      </c>
      <c r="D10" s="1">
        <f>VLOOKUP(C10,G6:I10,2)</f>
        <v>350000</v>
      </c>
      <c r="E10" s="1">
        <f>VLOOKUP(C10,G6:I10,3)</f>
        <v>200000</v>
      </c>
      <c r="G10" s="1">
        <v>5</v>
      </c>
      <c r="H10" s="2">
        <v>400000</v>
      </c>
      <c r="I10" s="2">
        <v>250000</v>
      </c>
    </row>
    <row r="11" spans="1:9" x14ac:dyDescent="0.25">
      <c r="A11" s="1">
        <v>5</v>
      </c>
      <c r="B11" s="1" t="s">
        <v>9</v>
      </c>
      <c r="C11" s="1">
        <v>3</v>
      </c>
      <c r="D11" s="1">
        <f>VLOOKUP(C11,G6:I10,2)</f>
        <v>300000</v>
      </c>
      <c r="E11" s="1">
        <f>VLOOKUP(C11,G6:I10,3)</f>
        <v>150000</v>
      </c>
    </row>
    <row r="12" spans="1:9" x14ac:dyDescent="0.25">
      <c r="A12" s="1">
        <v>6</v>
      </c>
      <c r="B12" s="1" t="s">
        <v>10</v>
      </c>
      <c r="C12" s="1">
        <v>2</v>
      </c>
      <c r="D12" s="1">
        <f>VLOOKUP(C12,G6:I10,2)</f>
        <v>250000</v>
      </c>
      <c r="E12" s="1">
        <f>VLOOKUP(C12,G6:I10,3)</f>
        <v>100000</v>
      </c>
    </row>
    <row r="13" spans="1:9" x14ac:dyDescent="0.25">
      <c r="A13" s="1">
        <v>7</v>
      </c>
      <c r="B13" s="1" t="s">
        <v>11</v>
      </c>
      <c r="C13" s="1">
        <v>5</v>
      </c>
      <c r="D13" s="1">
        <f>VLOOKUP(C13,G6:I10,2)</f>
        <v>400000</v>
      </c>
      <c r="E13" s="1">
        <f>VLOOKUP(C13,G6:I10,3)</f>
        <v>250000</v>
      </c>
    </row>
    <row r="14" spans="1:9" x14ac:dyDescent="0.25">
      <c r="A14" s="1">
        <v>8</v>
      </c>
      <c r="B14" s="1" t="s">
        <v>12</v>
      </c>
      <c r="C14" s="1">
        <v>4</v>
      </c>
      <c r="D14" s="1">
        <f>VLOOKUP(C14,G6:I10,2)</f>
        <v>350000</v>
      </c>
      <c r="E14" s="1">
        <f>VLOOKUP(C14,G6:I10,3)</f>
        <v>200000</v>
      </c>
    </row>
    <row r="15" spans="1:9" x14ac:dyDescent="0.25">
      <c r="A15" s="1">
        <v>9</v>
      </c>
      <c r="B15" s="1" t="s">
        <v>13</v>
      </c>
      <c r="C15" s="1">
        <v>1</v>
      </c>
      <c r="D15" s="1">
        <f>VLOOKUP(C15,G6:I10,2)</f>
        <v>200000</v>
      </c>
      <c r="E15" s="1">
        <f>VLOOKUP(C15,G6:I10,3)</f>
        <v>50000</v>
      </c>
    </row>
    <row r="16" spans="1:9" x14ac:dyDescent="0.25">
      <c r="A16" s="1">
        <v>10</v>
      </c>
      <c r="B16" s="1" t="s">
        <v>14</v>
      </c>
      <c r="C16" s="1">
        <v>5</v>
      </c>
      <c r="D16" s="1">
        <f>VLOOKUP(C16,G6:I10,2)</f>
        <v>400000</v>
      </c>
      <c r="E16" s="1">
        <f>VLOOKUP(C16,G6:I10,3)</f>
        <v>250000</v>
      </c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 t="s">
        <v>15</v>
      </c>
      <c r="C18" s="1">
        <f>SUM(C7:C16)</f>
        <v>30</v>
      </c>
      <c r="D18" s="1">
        <f>SUM(D7:D16)</f>
        <v>3000000</v>
      </c>
      <c r="E18" s="1">
        <f>SUM(E7:E16)</f>
        <v>1500000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Portabel Comp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2024-08-28T06:33:05Z</dcterms:created>
  <dcterms:modified xsi:type="dcterms:W3CDTF">2024-08-28T08:04:54Z</dcterms:modified>
</cp:coreProperties>
</file>