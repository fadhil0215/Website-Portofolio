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INFORMATIKA 2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4" i="1"/>
  <c r="H23" i="1"/>
  <c r="H22" i="1"/>
  <c r="H21" i="1"/>
  <c r="H20" i="1"/>
  <c r="H19" i="1"/>
  <c r="H18" i="1"/>
  <c r="H17" i="1"/>
  <c r="H16" i="1"/>
  <c r="F25" i="1"/>
  <c r="F24" i="1"/>
  <c r="F23" i="1"/>
  <c r="F22" i="1"/>
  <c r="F21" i="1"/>
  <c r="F20" i="1"/>
  <c r="F19" i="1"/>
  <c r="F18" i="1"/>
  <c r="F17" i="1"/>
  <c r="F16" i="1"/>
  <c r="E25" i="1"/>
  <c r="E24" i="1"/>
  <c r="E23" i="1"/>
  <c r="E22" i="1"/>
  <c r="E21" i="1"/>
  <c r="E20" i="1"/>
  <c r="E19" i="1"/>
  <c r="E18" i="1"/>
  <c r="E17" i="1"/>
  <c r="E16" i="1"/>
  <c r="D25" i="1"/>
  <c r="D24" i="1"/>
  <c r="D23" i="1"/>
  <c r="D22" i="1"/>
  <c r="D21" i="1"/>
  <c r="D20" i="1"/>
  <c r="D19" i="1"/>
  <c r="D18" i="1"/>
  <c r="D16" i="1"/>
  <c r="D17" i="1" l="1"/>
</calcChain>
</file>

<file path=xl/sharedStrings.xml><?xml version="1.0" encoding="utf-8"?>
<sst xmlns="http://schemas.openxmlformats.org/spreadsheetml/2006/main" count="57" uniqueCount="43">
  <si>
    <t>DAFTAR PEMBAYARAN UANG KULIAH</t>
  </si>
  <si>
    <t>UNIV.PADJADJARAN BANDUNG</t>
  </si>
  <si>
    <t>TABEL KODE JURUSAN</t>
  </si>
  <si>
    <t>TABEL TAHUN ANGKATAN</t>
  </si>
  <si>
    <t>TABEL BIAYA per SKS</t>
  </si>
  <si>
    <t>JURUSAN</t>
  </si>
  <si>
    <t>KODE</t>
  </si>
  <si>
    <t>ANGKATAN</t>
  </si>
  <si>
    <t xml:space="preserve">TAHUN </t>
  </si>
  <si>
    <t>BIAYA</t>
  </si>
  <si>
    <t>per SKS</t>
  </si>
  <si>
    <t>EK</t>
  </si>
  <si>
    <t>HK</t>
  </si>
  <si>
    <t>SP</t>
  </si>
  <si>
    <t>TA</t>
  </si>
  <si>
    <t>TS</t>
  </si>
  <si>
    <t>Ekonomi</t>
  </si>
  <si>
    <t>Hukum</t>
  </si>
  <si>
    <t>Sosial Politik</t>
  </si>
  <si>
    <t>Tek. Arsitektur</t>
  </si>
  <si>
    <t>Tek. Sipil</t>
  </si>
  <si>
    <t>NO</t>
  </si>
  <si>
    <t>NOMOR</t>
  </si>
  <si>
    <t>POKOK</t>
  </si>
  <si>
    <t xml:space="preserve">BIAYA </t>
  </si>
  <si>
    <t>JUMLAH</t>
  </si>
  <si>
    <t>SKS</t>
  </si>
  <si>
    <t xml:space="preserve">JUMLAH </t>
  </si>
  <si>
    <t>TA92129</t>
  </si>
  <si>
    <t>EK94131</t>
  </si>
  <si>
    <t>TS96133</t>
  </si>
  <si>
    <t>SP93130</t>
  </si>
  <si>
    <t>HK95132</t>
  </si>
  <si>
    <t>92</t>
  </si>
  <si>
    <t>93</t>
  </si>
  <si>
    <t>94</t>
  </si>
  <si>
    <t>95</t>
  </si>
  <si>
    <t>96</t>
  </si>
  <si>
    <t>29</t>
  </si>
  <si>
    <t>30</t>
  </si>
  <si>
    <t>31</t>
  </si>
  <si>
    <t>32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</si>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</sst>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Rp&quot;* #,##0_-;\-&quot;Rp&quot;* #,##0_-;_-&quot;Rp&quot;* &quot;-&quot;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2" fontId="0" fillId="0" borderId="1" xfId="0" applyNumberFormat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K21" sqref="K21"/>
    </sheetView>
  </sheetViews>
  <sheetFormatPr defaultRowHeight="15" x14ac:dyDescent="0.25"/>
  <cols>
    <col min="2" max="2" width="8.5703125" customWidth="1"/>
    <col min="3" max="3" width="15.5703125" customWidth="1"/>
    <col min="4" max="4" width="14.42578125" customWidth="1"/>
    <col min="5" max="5" width="12" customWidth="1"/>
    <col min="6" max="6" width="10.7109375" customWidth="1"/>
    <col min="7" max="7" width="10.140625" customWidth="1"/>
    <col min="8" max="8" width="11" customWidth="1"/>
    <col min="9" max="9" width="10.28515625" bestFit="1" customWidth="1"/>
  </cols>
  <sheetData>
    <row r="1" spans="1:9" x14ac:dyDescent="0.25">
      <c r="A1">
        <v>1</v>
      </c>
      <c r="B1" s="1" t="s">
        <v>0</v>
      </c>
      <c r="C1" s="1"/>
      <c r="D1" s="1"/>
    </row>
    <row r="2" spans="1:9" x14ac:dyDescent="0.25">
      <c r="A2">
        <v>2</v>
      </c>
      <c r="B2" s="1" t="s">
        <v>1</v>
      </c>
      <c r="C2" s="1"/>
      <c r="D2" s="1"/>
    </row>
    <row r="3" spans="1:9" x14ac:dyDescent="0.25">
      <c r="A3">
        <v>3</v>
      </c>
    </row>
    <row r="4" spans="1:9" x14ac:dyDescent="0.25">
      <c r="A4">
        <v>4</v>
      </c>
      <c r="B4" t="s">
        <v>2</v>
      </c>
      <c r="E4" t="s">
        <v>3</v>
      </c>
      <c r="H4" t="s">
        <v>4</v>
      </c>
    </row>
    <row r="5" spans="1:9" x14ac:dyDescent="0.25">
      <c r="A5">
        <v>5</v>
      </c>
      <c r="B5" s="1" t="s">
        <v>6</v>
      </c>
      <c r="C5" s="1"/>
      <c r="E5" s="1" t="s">
        <v>6</v>
      </c>
      <c r="F5" s="1" t="s">
        <v>8</v>
      </c>
      <c r="H5" s="1" t="s">
        <v>6</v>
      </c>
      <c r="I5" s="1" t="s">
        <v>9</v>
      </c>
    </row>
    <row r="6" spans="1:9" x14ac:dyDescent="0.25">
      <c r="A6">
        <v>6</v>
      </c>
      <c r="B6" s="1" t="s">
        <v>5</v>
      </c>
      <c r="C6" s="1" t="s">
        <v>5</v>
      </c>
      <c r="E6" s="1" t="s">
        <v>7</v>
      </c>
      <c r="F6" s="1" t="s">
        <v>7</v>
      </c>
      <c r="H6" s="1" t="s">
        <v>9</v>
      </c>
      <c r="I6" s="1" t="s">
        <v>10</v>
      </c>
    </row>
    <row r="7" spans="1:9" x14ac:dyDescent="0.25">
      <c r="A7">
        <v>7</v>
      </c>
      <c r="B7" s="1" t="s">
        <v>11</v>
      </c>
      <c r="C7" s="1" t="s">
        <v>16</v>
      </c>
      <c r="E7" s="3" t="s">
        <v>33</v>
      </c>
      <c r="F7" s="1">
        <v>1992</v>
      </c>
      <c r="H7" s="3" t="s">
        <v>38</v>
      </c>
      <c r="I7" s="2">
        <v>16000</v>
      </c>
    </row>
    <row r="8" spans="1:9" x14ac:dyDescent="0.25">
      <c r="A8">
        <v>8</v>
      </c>
      <c r="B8" s="1" t="s">
        <v>12</v>
      </c>
      <c r="C8" s="1" t="s">
        <v>17</v>
      </c>
      <c r="E8" s="3" t="s">
        <v>34</v>
      </c>
      <c r="F8" s="1">
        <v>1993</v>
      </c>
      <c r="H8" s="3" t="s">
        <v>39</v>
      </c>
      <c r="I8" s="2">
        <v>15500</v>
      </c>
    </row>
    <row r="9" spans="1:9" x14ac:dyDescent="0.25">
      <c r="A9">
        <v>9</v>
      </c>
      <c r="B9" s="1" t="s">
        <v>13</v>
      </c>
      <c r="C9" s="1" t="s">
        <v>18</v>
      </c>
      <c r="E9" s="3" t="s">
        <v>35</v>
      </c>
      <c r="F9" s="1">
        <v>1994</v>
      </c>
      <c r="H9" s="3" t="s">
        <v>40</v>
      </c>
      <c r="I9" s="2">
        <v>15500</v>
      </c>
    </row>
    <row r="10" spans="1:9" x14ac:dyDescent="0.25">
      <c r="A10">
        <v>10</v>
      </c>
      <c r="B10" s="1" t="s">
        <v>14</v>
      </c>
      <c r="C10" s="1" t="s">
        <v>19</v>
      </c>
      <c r="E10" s="3" t="s">
        <v>36</v>
      </c>
      <c r="F10" s="1">
        <v>1995</v>
      </c>
      <c r="H10" s="3" t="s">
        <v>41</v>
      </c>
      <c r="I10" s="2">
        <v>16500</v>
      </c>
    </row>
    <row r="11" spans="1:9" x14ac:dyDescent="0.25">
      <c r="A11">
        <v>11</v>
      </c>
      <c r="B11" s="1" t="s">
        <v>15</v>
      </c>
      <c r="C11" s="1" t="s">
        <v>20</v>
      </c>
      <c r="E11" s="3" t="s">
        <v>37</v>
      </c>
      <c r="F11" s="1">
        <v>1996</v>
      </c>
      <c r="H11" s="3" t="s">
        <v>42</v>
      </c>
      <c r="I11" s="2">
        <v>17000</v>
      </c>
    </row>
    <row r="12" spans="1:9" x14ac:dyDescent="0.25">
      <c r="A12">
        <v>12</v>
      </c>
    </row>
    <row r="13" spans="1:9" x14ac:dyDescent="0.25">
      <c r="A13">
        <v>13</v>
      </c>
    </row>
    <row r="14" spans="1:9" x14ac:dyDescent="0.25">
      <c r="A14">
        <v>14</v>
      </c>
      <c r="B14" s="1" t="s">
        <v>21</v>
      </c>
      <c r="C14" s="1" t="s">
        <v>22</v>
      </c>
      <c r="D14" s="1" t="s">
        <v>5</v>
      </c>
      <c r="E14" s="1" t="s">
        <v>7</v>
      </c>
      <c r="F14" s="1" t="s">
        <v>24</v>
      </c>
      <c r="G14" s="1" t="s">
        <v>25</v>
      </c>
      <c r="H14" s="1" t="s">
        <v>27</v>
      </c>
    </row>
    <row r="15" spans="1:9" x14ac:dyDescent="0.25">
      <c r="A15">
        <v>15</v>
      </c>
      <c r="B15" s="1"/>
      <c r="C15" s="1" t="s">
        <v>23</v>
      </c>
      <c r="D15" s="1"/>
      <c r="E15" s="1"/>
      <c r="F15" s="1" t="s">
        <v>10</v>
      </c>
      <c r="G15" s="1" t="s">
        <v>26</v>
      </c>
      <c r="H15" s="1" t="s">
        <v>9</v>
      </c>
    </row>
    <row r="16" spans="1:9" x14ac:dyDescent="0.25">
      <c r="A16">
        <v>16</v>
      </c>
      <c r="B16" s="1">
        <v>1</v>
      </c>
      <c r="C16" s="1" t="s">
        <v>28</v>
      </c>
      <c r="D16" s="1" t="str">
        <f>VLOOKUP(LEFT(C16,2),B7:C11,2)</f>
        <v>Tek. Arsitektur</v>
      </c>
      <c r="E16" s="1">
        <f>VLOOKUP(MID(C16,3,2),E7:F11,2)</f>
        <v>1992</v>
      </c>
      <c r="F16" s="2">
        <f>VLOOKUP(RIGHT(C16,2),H7:I11,2)</f>
        <v>16000</v>
      </c>
      <c r="G16" s="1">
        <v>24</v>
      </c>
      <c r="H16" s="2">
        <f>F16*G16</f>
        <v>384000</v>
      </c>
    </row>
    <row r="17" spans="1:8" x14ac:dyDescent="0.25">
      <c r="A17">
        <v>17</v>
      </c>
      <c r="B17" s="1">
        <v>2</v>
      </c>
      <c r="C17" s="1" t="s">
        <v>29</v>
      </c>
      <c r="D17" s="1" t="str">
        <f>VLOOKUP(LEFT(C17,2),B7:C11,2)</f>
        <v>Ekonomi</v>
      </c>
      <c r="E17" s="1">
        <f>VLOOKUP(MID(C17,3,2),E7:F11,2)</f>
        <v>1994</v>
      </c>
      <c r="F17" s="2">
        <f>VLOOKUP(RIGHT(C17,2),H7:I11,2)</f>
        <v>15500</v>
      </c>
      <c r="G17" s="1">
        <v>22</v>
      </c>
      <c r="H17" s="2">
        <f>F17*G17</f>
        <v>341000</v>
      </c>
    </row>
    <row r="18" spans="1:8" x14ac:dyDescent="0.25">
      <c r="A18">
        <v>18</v>
      </c>
      <c r="B18" s="1">
        <v>3</v>
      </c>
      <c r="C18" s="1" t="s">
        <v>30</v>
      </c>
      <c r="D18" s="1" t="str">
        <f>VLOOKUP(LEFT(C18,2),B7:C11,2)</f>
        <v>Tek. Sipil</v>
      </c>
      <c r="E18" s="1">
        <f>VLOOKUP(MID(C18,3,2),E7:F11,2)</f>
        <v>1996</v>
      </c>
      <c r="F18" s="2">
        <f>VLOOKUP(RIGHT(C18,2),H7:I11,2)</f>
        <v>17000</v>
      </c>
      <c r="G18" s="1">
        <v>20</v>
      </c>
      <c r="H18" s="2">
        <f>F18*G18</f>
        <v>340000</v>
      </c>
    </row>
    <row r="19" spans="1:8" x14ac:dyDescent="0.25">
      <c r="A19">
        <v>19</v>
      </c>
      <c r="B19" s="1">
        <v>4</v>
      </c>
      <c r="C19" s="1" t="s">
        <v>31</v>
      </c>
      <c r="D19" s="1" t="str">
        <f>VLOOKUP(LEFT(C19,2),B7:C11,2)</f>
        <v>Sosial Politik</v>
      </c>
      <c r="E19" s="1">
        <f>VLOOKUP(MID(C19,3,2),E7:F11,2)</f>
        <v>1993</v>
      </c>
      <c r="F19" s="2">
        <f>VLOOKUP(RIGHT(C19,2),H7:I11,2)</f>
        <v>15500</v>
      </c>
      <c r="G19" s="1">
        <v>23</v>
      </c>
      <c r="H19" s="2">
        <f>F19*G19</f>
        <v>356500</v>
      </c>
    </row>
    <row r="20" spans="1:8" x14ac:dyDescent="0.25">
      <c r="A20">
        <v>20</v>
      </c>
      <c r="B20" s="1">
        <v>5</v>
      </c>
      <c r="C20" s="1" t="s">
        <v>32</v>
      </c>
      <c r="D20" s="1" t="str">
        <f>VLOOKUP(LEFT(C20,2),B7:C11,2)</f>
        <v>Hukum</v>
      </c>
      <c r="E20" s="1">
        <f>VLOOKUP(MID(C20,3,2),E7:F11,2)</f>
        <v>1995</v>
      </c>
      <c r="F20" s="2">
        <f>VLOOKUP(RIGHT(C20,2),H7:I11,2)</f>
        <v>16500</v>
      </c>
      <c r="G20" s="1">
        <v>25</v>
      </c>
      <c r="H20" s="2">
        <f>F20*G20</f>
        <v>412500</v>
      </c>
    </row>
    <row r="21" spans="1:8" x14ac:dyDescent="0.25">
      <c r="A21">
        <v>21</v>
      </c>
      <c r="B21" s="1">
        <v>6</v>
      </c>
      <c r="C21" s="1" t="s">
        <v>31</v>
      </c>
      <c r="D21" s="1" t="str">
        <f>VLOOKUP(LEFT(C21,2),B7:C11,2)</f>
        <v>Sosial Politik</v>
      </c>
      <c r="E21" s="1">
        <f>VLOOKUP(MID(C21,3,2),E7:F11,2)</f>
        <v>1993</v>
      </c>
      <c r="F21" s="2">
        <f>VLOOKUP(RIGHT(C21,2),H7:I11,2)</f>
        <v>15500</v>
      </c>
      <c r="G21" s="1">
        <v>23</v>
      </c>
      <c r="H21" s="2">
        <f>F21*G21</f>
        <v>356500</v>
      </c>
    </row>
    <row r="22" spans="1:8" x14ac:dyDescent="0.25">
      <c r="A22">
        <v>22</v>
      </c>
      <c r="B22" s="1">
        <v>7</v>
      </c>
      <c r="C22" s="1" t="s">
        <v>32</v>
      </c>
      <c r="D22" s="1" t="str">
        <f>VLOOKUP(LEFT(C22,2),B7:C11,2)</f>
        <v>Hukum</v>
      </c>
      <c r="E22" s="1">
        <f>VLOOKUP(MID(C22,3,2),E7:F11,2)</f>
        <v>1995</v>
      </c>
      <c r="F22" s="2">
        <f>VLOOKUP(RIGHT(C22,2),H7:I11,2)</f>
        <v>16500</v>
      </c>
      <c r="G22" s="1">
        <v>25</v>
      </c>
      <c r="H22" s="2">
        <f>F22*G22</f>
        <v>412500</v>
      </c>
    </row>
    <row r="23" spans="1:8" x14ac:dyDescent="0.25">
      <c r="A23">
        <v>23</v>
      </c>
      <c r="B23" s="1">
        <v>8</v>
      </c>
      <c r="C23" s="1" t="s">
        <v>28</v>
      </c>
      <c r="D23" s="1" t="str">
        <f>VLOOKUP(LEFT(C23,2),B7:C11,2)</f>
        <v>Tek. Arsitektur</v>
      </c>
      <c r="E23" s="1">
        <f>VLOOKUP(MID(C23,3,2),E7:F11,2)</f>
        <v>1992</v>
      </c>
      <c r="F23" s="2">
        <f>VLOOKUP(RIGHT(C23,2),H7:I11,2)</f>
        <v>16000</v>
      </c>
      <c r="G23" s="1">
        <v>24</v>
      </c>
      <c r="H23" s="2">
        <f>F23*G23</f>
        <v>384000</v>
      </c>
    </row>
    <row r="24" spans="1:8" x14ac:dyDescent="0.25">
      <c r="A24">
        <v>24</v>
      </c>
      <c r="B24" s="1">
        <v>9</v>
      </c>
      <c r="C24" s="1" t="s">
        <v>29</v>
      </c>
      <c r="D24" s="1" t="str">
        <f>VLOOKUP(LEFT(C24,2),B7:C11,2)</f>
        <v>Ekonomi</v>
      </c>
      <c r="E24" s="1">
        <f>VLOOKUP(MID(C24,3,2),E7:F11,2)</f>
        <v>1994</v>
      </c>
      <c r="F24" s="2">
        <f>VLOOKUP(RIGHT(C24,2),H7:I11,2)</f>
        <v>15500</v>
      </c>
      <c r="G24" s="1">
        <v>22</v>
      </c>
      <c r="H24" s="2">
        <f>F24*G24</f>
        <v>341000</v>
      </c>
    </row>
    <row r="25" spans="1:8" x14ac:dyDescent="0.25">
      <c r="A25">
        <v>25</v>
      </c>
      <c r="B25" s="1">
        <v>10</v>
      </c>
      <c r="C25" s="1" t="s">
        <v>30</v>
      </c>
      <c r="D25" s="1" t="str">
        <f>VLOOKUP(LEFT(C25,2),B7:C11,2)</f>
        <v>Tek. Sipil</v>
      </c>
      <c r="E25" s="1">
        <f>VLOOKUP(MID(C25,3,2),E7:F11,2)</f>
        <v>1996</v>
      </c>
      <c r="F25" s="2">
        <f>VLOOKUP(RIGHT(C25,2),H7:I11,2)</f>
        <v>17000</v>
      </c>
      <c r="G25" s="1">
        <v>20</v>
      </c>
      <c r="H25" s="2">
        <f>F25*G25</f>
        <v>340000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Portabel Comp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2024-09-18T07:37:16Z</dcterms:created>
  <dcterms:modified xsi:type="dcterms:W3CDTF">2024-09-19T06:38:01Z</dcterms:modified>
</cp:coreProperties>
</file>