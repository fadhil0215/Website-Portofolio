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INFORMATIKA 2\"/>
    </mc:Choice>
  </mc:AlternateContent>
  <xr:revisionPtr revIDLastSave="0" documentId="13_ncr:1_{2E816FD7-56B8-44F8-A973-6C8E8776F955}" xr6:coauthVersionLast="47" xr6:coauthVersionMax="47" xr10:uidLastSave="{00000000-0000-0000-0000-000000000000}"/>
  <bookViews>
    <workbookView xWindow="-120" yWindow="-120" windowWidth="21840" windowHeight="13140" activeTab="1" xr2:uid="{56DBEF3F-59D1-4D2C-BABF-0C6E1E06DABB}"/>
  </bookViews>
  <sheets>
    <sheet name="BASED DATA" sheetId="1" r:id="rId1"/>
    <sheet name="SLIP GAJ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2" l="1"/>
  <c r="G18" i="2"/>
  <c r="G17" i="2"/>
  <c r="G16" i="2"/>
  <c r="G15" i="2"/>
  <c r="G14" i="2"/>
  <c r="G13" i="2"/>
  <c r="G12" i="2"/>
  <c r="G20" i="2" s="1"/>
  <c r="G5" i="2"/>
  <c r="G8" i="2"/>
  <c r="G7" i="2"/>
  <c r="G6" i="2"/>
  <c r="N11" i="1"/>
  <c r="H11" i="1"/>
  <c r="H9" i="1"/>
  <c r="E9" i="1"/>
  <c r="E17" i="1"/>
  <c r="F9" i="1"/>
  <c r="G9" i="1"/>
  <c r="P9" i="1" l="1"/>
  <c r="P18" i="1"/>
  <c r="P17" i="1"/>
  <c r="P16" i="1"/>
  <c r="P15" i="1"/>
  <c r="P14" i="1"/>
  <c r="P13" i="1"/>
  <c r="P12" i="1"/>
  <c r="P11" i="1"/>
  <c r="P10" i="1"/>
  <c r="O18" i="1"/>
  <c r="O17" i="1"/>
  <c r="O16" i="1"/>
  <c r="O15" i="1"/>
  <c r="O14" i="1"/>
  <c r="O13" i="1"/>
  <c r="O12" i="1"/>
  <c r="O11" i="1"/>
  <c r="O10" i="1"/>
  <c r="O9" i="1"/>
  <c r="N18" i="1"/>
  <c r="N17" i="1"/>
  <c r="N16" i="1"/>
  <c r="N15" i="1"/>
  <c r="N14" i="1"/>
  <c r="N13" i="1"/>
  <c r="N12" i="1"/>
  <c r="N10" i="1"/>
  <c r="N9" i="1"/>
  <c r="L9" i="1"/>
  <c r="L10" i="1"/>
  <c r="L11" i="1"/>
  <c r="L12" i="1"/>
  <c r="L13" i="1"/>
  <c r="L14" i="1"/>
  <c r="L15" i="1"/>
  <c r="L16" i="1"/>
  <c r="L17" i="1"/>
  <c r="L18" i="1"/>
  <c r="K18" i="1"/>
  <c r="K17" i="1"/>
  <c r="K16" i="1"/>
  <c r="K15" i="1"/>
  <c r="K14" i="1"/>
  <c r="K13" i="1"/>
  <c r="K12" i="1"/>
  <c r="K11" i="1"/>
  <c r="K10" i="1"/>
  <c r="K9" i="1"/>
  <c r="J18" i="1"/>
  <c r="J17" i="1"/>
  <c r="J16" i="1"/>
  <c r="J15" i="1"/>
  <c r="J14" i="1"/>
  <c r="J13" i="1"/>
  <c r="J12" i="1"/>
  <c r="J11" i="1"/>
  <c r="J10" i="1"/>
  <c r="J9" i="1"/>
  <c r="D24" i="1"/>
  <c r="D23" i="1"/>
  <c r="D22" i="1"/>
  <c r="H18" i="1"/>
  <c r="H17" i="1"/>
  <c r="H16" i="1"/>
  <c r="H15" i="1"/>
  <c r="H14" i="1"/>
  <c r="H13" i="1"/>
  <c r="H12" i="1"/>
  <c r="H10" i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E18" i="1"/>
  <c r="E16" i="1"/>
  <c r="E15" i="1"/>
  <c r="E14" i="1"/>
  <c r="E13" i="1"/>
  <c r="E12" i="1"/>
  <c r="E11" i="1"/>
  <c r="E10" i="1"/>
  <c r="M11" i="1" l="1"/>
  <c r="R11" i="1" s="1"/>
  <c r="S11" i="1" s="1"/>
  <c r="M10" i="1"/>
  <c r="R10" i="1" s="1"/>
  <c r="S10" i="1" s="1"/>
  <c r="M9" i="1"/>
  <c r="M15" i="1"/>
  <c r="M14" i="1"/>
  <c r="M13" i="1"/>
  <c r="M12" i="1"/>
  <c r="M18" i="1"/>
  <c r="R18" i="1" s="1"/>
  <c r="S18" i="1" s="1"/>
  <c r="M17" i="1"/>
  <c r="R17" i="1" s="1"/>
  <c r="S17" i="1" s="1"/>
  <c r="M16" i="1"/>
  <c r="R16" i="1" s="1"/>
  <c r="S16" i="1" s="1"/>
  <c r="A33" i="1" l="1"/>
  <c r="R12" i="1"/>
  <c r="S12" i="1" s="1"/>
  <c r="A34" i="1"/>
  <c r="R13" i="1"/>
  <c r="S13" i="1" s="1"/>
  <c r="A35" i="1"/>
  <c r="R14" i="1"/>
  <c r="S14" i="1" s="1"/>
  <c r="A36" i="1"/>
  <c r="R15" i="1"/>
  <c r="S15" i="1" s="1"/>
  <c r="A31" i="1"/>
  <c r="A30" i="1"/>
  <c r="A32" i="1"/>
  <c r="R9" i="1"/>
  <c r="S9" i="1" s="1"/>
</calcChain>
</file>

<file path=xl/sharedStrings.xml><?xml version="1.0" encoding="utf-8"?>
<sst xmlns="http://schemas.openxmlformats.org/spreadsheetml/2006/main" count="161" uniqueCount="92">
  <si>
    <t>PT.HARI-HARI CERAH</t>
  </si>
  <si>
    <t>Daftar Gaji dan Tunjangan Karyawan</t>
  </si>
  <si>
    <t>Bulan Oktober 2024</t>
  </si>
  <si>
    <t>NO</t>
  </si>
  <si>
    <t>NPK</t>
  </si>
  <si>
    <t>NAMA KARYAWAN</t>
  </si>
  <si>
    <t>STATUS</t>
  </si>
  <si>
    <t>JABATAN</t>
  </si>
  <si>
    <t>TANGGAL BERGABUNG</t>
  </si>
  <si>
    <t>MASA LAMA BEKERJA</t>
  </si>
  <si>
    <t xml:space="preserve">GAJI POKOK </t>
  </si>
  <si>
    <t>TUNJANGAN TRANSPORTASI</t>
  </si>
  <si>
    <t>Mahatma</t>
  </si>
  <si>
    <t>Pratama</t>
  </si>
  <si>
    <t>Giandra</t>
  </si>
  <si>
    <t>Malik</t>
  </si>
  <si>
    <t>Radiyan</t>
  </si>
  <si>
    <t>Baskara</t>
  </si>
  <si>
    <t>Adhiyaksa</t>
  </si>
  <si>
    <t>Mahendra</t>
  </si>
  <si>
    <t>Diaskara</t>
  </si>
  <si>
    <t>Azrakhar</t>
  </si>
  <si>
    <t>KARYAWAN TETAP</t>
  </si>
  <si>
    <t>SUPERVISOR</t>
  </si>
  <si>
    <t>kode nomor</t>
  </si>
  <si>
    <t>GAJI POKOK</t>
  </si>
  <si>
    <t>KODE NOMOR</t>
  </si>
  <si>
    <t>TUNJANGAN JABATAN</t>
  </si>
  <si>
    <t>THR</t>
  </si>
  <si>
    <t>DENDA KETERLAMBATAN</t>
  </si>
  <si>
    <t>TUNJANGAN KONSUMSI</t>
  </si>
  <si>
    <t>MANAGER</t>
  </si>
  <si>
    <t>STAFF</t>
  </si>
  <si>
    <t>01.00.01</t>
  </si>
  <si>
    <t>01.00.02</t>
  </si>
  <si>
    <t>MR</t>
  </si>
  <si>
    <t>SP</t>
  </si>
  <si>
    <t>ST</t>
  </si>
  <si>
    <t>TRANSPORTASI</t>
  </si>
  <si>
    <t>MB</t>
  </si>
  <si>
    <t>MT</t>
  </si>
  <si>
    <t>AU</t>
  </si>
  <si>
    <t>BONUS</t>
  </si>
  <si>
    <t>TUNJANGAN BPJS</t>
  </si>
  <si>
    <t>LEMBUR</t>
  </si>
  <si>
    <t>PENERIMAAN LAINNYA</t>
  </si>
  <si>
    <t>JUMLAH GAJI KOTOR/BULAN</t>
  </si>
  <si>
    <t>JUMLAH GAJI KOTOR/TAHUN</t>
  </si>
  <si>
    <t>TABEL PENGELUARAN</t>
  </si>
  <si>
    <t>IURAN BPJS KESEHATAN</t>
  </si>
  <si>
    <t>PERUSAHAAN 4%</t>
  </si>
  <si>
    <t>KARYAWAN 1%</t>
  </si>
  <si>
    <t>JUMLAH IURAN</t>
  </si>
  <si>
    <t>BPJS KESEHATAN</t>
  </si>
  <si>
    <t>IURAN BPJS KETENAGAKERJAAN</t>
  </si>
  <si>
    <t>JKM 0,10%</t>
  </si>
  <si>
    <t>KARYAWAN 2%</t>
  </si>
  <si>
    <t>JHT PERUSAHAAN 3,70%</t>
  </si>
  <si>
    <t>JUMLAH IURAN BPJS</t>
  </si>
  <si>
    <t>KETENAGAKERJAAN</t>
  </si>
  <si>
    <t>POTONGAN KETERLAMBATAN</t>
  </si>
  <si>
    <t>JAM 50.000</t>
  </si>
  <si>
    <t>JUMLAH PENGELUARAN</t>
  </si>
  <si>
    <t>SLIP GAJI</t>
  </si>
  <si>
    <t>Head Office</t>
  </si>
  <si>
    <t>PT. HARI - HARI CERAH</t>
  </si>
  <si>
    <t>JL. TAUBAT</t>
  </si>
  <si>
    <t>Bogor</t>
  </si>
  <si>
    <t>Periode</t>
  </si>
  <si>
    <t>Karyawan</t>
  </si>
  <si>
    <t>Jabatan</t>
  </si>
  <si>
    <t>PENERIMAAN</t>
  </si>
  <si>
    <t>Gaji Pokok</t>
  </si>
  <si>
    <t>Tunjangan Jabatan</t>
  </si>
  <si>
    <t>Tunjangan Transportasi</t>
  </si>
  <si>
    <t>Tunjangan Makan</t>
  </si>
  <si>
    <t>Tunjangan BPJS</t>
  </si>
  <si>
    <t>Lembur</t>
  </si>
  <si>
    <t>Bonus/THR</t>
  </si>
  <si>
    <t>Penerimaan Lainnya</t>
  </si>
  <si>
    <t>TOTAL PENGHASILAN BRUTO</t>
  </si>
  <si>
    <t>PENGURANGAN</t>
  </si>
  <si>
    <t>Iuran BPJS Kesehatan</t>
  </si>
  <si>
    <t>Iuran BPJS Ketenagakerjaan</t>
  </si>
  <si>
    <t>Pajak</t>
  </si>
  <si>
    <t>Potongan Keterlambatan</t>
  </si>
  <si>
    <t>TOTAL PENGURANGAN</t>
  </si>
  <si>
    <t>TOTAL DITERIMA KARYAWAN</t>
  </si>
  <si>
    <t>NO URUT</t>
  </si>
  <si>
    <t>Status</t>
  </si>
  <si>
    <t>OKTOBER 2024</t>
  </si>
  <si>
    <t xml:space="preserve">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</si>
</sst>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Rp&quot;\ * #,##0_);_(&quot;Rp&quot;\ * \(#,##0\);_(&quot;Rp&quot;\ * &quot;-&quot;_);_(@_)"/>
    <numFmt numFmtId="164" formatCode="_-[$Rp-421]* #,##0_-;\-[$Rp-421]* #,##0_-;_-[$Rp-421]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Aharoni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9" xfId="0" applyFill="1" applyBorder="1" applyAlignment="1">
      <alignment horizontal="left" vertical="center" indent="6"/>
    </xf>
    <xf numFmtId="0" fontId="0" fillId="2" borderId="9" xfId="0" applyFill="1" applyBorder="1" applyAlignment="1">
      <alignment horizontal="left" vertical="center" wrapText="1" indent="7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horizontal="center" vertical="center" wrapText="1"/>
    </xf>
    <xf numFmtId="0" fontId="0" fillId="3" borderId="9" xfId="0" applyFill="1" applyBorder="1"/>
    <xf numFmtId="0" fontId="0" fillId="3" borderId="9" xfId="0" applyFill="1" applyBorder="1" applyAlignment="1">
      <alignment horizontal="left" indent="1"/>
    </xf>
    <xf numFmtId="15" fontId="0" fillId="3" borderId="9" xfId="0" applyNumberFormat="1" applyFill="1" applyBorder="1"/>
    <xf numFmtId="0" fontId="2" fillId="3" borderId="10" xfId="0" applyFont="1" applyFill="1" applyBorder="1" applyAlignment="1">
      <alignment horizontal="left" vertical="top" indent="2"/>
    </xf>
    <xf numFmtId="0" fontId="2" fillId="3" borderId="10" xfId="0" applyFont="1" applyFill="1" applyBorder="1" applyAlignment="1">
      <alignment horizontal="left" vertical="center" indent="7"/>
    </xf>
    <xf numFmtId="0" fontId="2" fillId="3" borderId="17" xfId="0" applyFont="1" applyFill="1" applyBorder="1" applyAlignment="1">
      <alignment vertical="center"/>
    </xf>
    <xf numFmtId="0" fontId="2" fillId="3" borderId="16" xfId="0" applyFont="1" applyFill="1" applyBorder="1" applyAlignment="1">
      <alignment horizontal="center"/>
    </xf>
    <xf numFmtId="0" fontId="2" fillId="3" borderId="9" xfId="0" applyFont="1" applyFill="1" applyBorder="1" applyAlignment="1">
      <alignment vertical="center"/>
    </xf>
    <xf numFmtId="0" fontId="2" fillId="3" borderId="9" xfId="0" applyFont="1" applyFill="1" applyBorder="1"/>
    <xf numFmtId="0" fontId="0" fillId="4" borderId="9" xfId="0" applyFill="1" applyBorder="1"/>
    <xf numFmtId="42" fontId="0" fillId="4" borderId="11" xfId="0" applyNumberFormat="1" applyFill="1" applyBorder="1"/>
    <xf numFmtId="0" fontId="0" fillId="4" borderId="13" xfId="0" applyFill="1" applyBorder="1"/>
    <xf numFmtId="0" fontId="0" fillId="4" borderId="0" xfId="0" applyFill="1"/>
    <xf numFmtId="0" fontId="0" fillId="4" borderId="9" xfId="0" applyFill="1" applyBorder="1" applyAlignment="1">
      <alignment horizontal="left" vertical="top"/>
    </xf>
    <xf numFmtId="42" fontId="0" fillId="4" borderId="9" xfId="0" applyNumberFormat="1" applyFill="1" applyBorder="1"/>
    <xf numFmtId="42" fontId="0" fillId="4" borderId="12" xfId="0" applyNumberFormat="1" applyFill="1" applyBorder="1"/>
    <xf numFmtId="42" fontId="0" fillId="4" borderId="10" xfId="0" applyNumberFormat="1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9" xfId="0" quotePrefix="1" applyFill="1" applyBorder="1"/>
    <xf numFmtId="164" fontId="0" fillId="4" borderId="9" xfId="0" applyNumberFormat="1" applyFill="1" applyBorder="1"/>
    <xf numFmtId="0" fontId="1" fillId="5" borderId="1" xfId="0" applyFont="1" applyFill="1" applyBorder="1" applyAlignment="1">
      <alignment horizontal="left" indent="9"/>
    </xf>
    <xf numFmtId="0" fontId="0" fillId="5" borderId="4" xfId="0" applyFill="1" applyBorder="1"/>
    <xf numFmtId="0" fontId="0" fillId="5" borderId="5" xfId="0" applyFill="1" applyBorder="1"/>
    <xf numFmtId="0" fontId="0" fillId="5" borderId="2" xfId="0" applyFill="1" applyBorder="1" applyAlignment="1">
      <alignment horizontal="left" indent="4"/>
    </xf>
    <xf numFmtId="0" fontId="0" fillId="5" borderId="0" xfId="0" applyFill="1"/>
    <xf numFmtId="0" fontId="0" fillId="5" borderId="6" xfId="0" applyFill="1" applyBorder="1"/>
    <xf numFmtId="0" fontId="0" fillId="5" borderId="3" xfId="0" applyFill="1" applyBorder="1" applyAlignment="1">
      <alignment horizontal="left" indent="9"/>
    </xf>
    <xf numFmtId="0" fontId="0" fillId="5" borderId="7" xfId="0" applyFill="1" applyBorder="1"/>
    <xf numFmtId="0" fontId="0" fillId="5" borderId="8" xfId="0" applyFill="1" applyBorder="1"/>
    <xf numFmtId="164" fontId="0" fillId="0" borderId="0" xfId="0" applyNumberFormat="1"/>
    <xf numFmtId="0" fontId="0" fillId="6" borderId="9" xfId="0" applyFill="1" applyBorder="1"/>
    <xf numFmtId="0" fontId="0" fillId="6" borderId="9" xfId="0" applyFill="1" applyBorder="1" applyAlignment="1">
      <alignment horizontal="left" indent="6"/>
    </xf>
    <xf numFmtId="14" fontId="0" fillId="6" borderId="9" xfId="0" applyNumberFormat="1" applyFill="1" applyBorder="1"/>
    <xf numFmtId="164" fontId="0" fillId="6" borderId="9" xfId="0" applyNumberFormat="1" applyFill="1" applyBorder="1"/>
    <xf numFmtId="42" fontId="0" fillId="6" borderId="9" xfId="0" applyNumberFormat="1" applyFill="1" applyBorder="1" applyAlignment="1">
      <alignment horizontal="center" vertical="center"/>
    </xf>
    <xf numFmtId="42" fontId="0" fillId="6" borderId="9" xfId="0" applyNumberFormat="1" applyFill="1" applyBorder="1"/>
    <xf numFmtId="15" fontId="0" fillId="6" borderId="9" xfId="0" applyNumberFormat="1" applyFill="1" applyBorder="1"/>
    <xf numFmtId="164" fontId="0" fillId="0" borderId="9" xfId="0" applyNumberForma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indent="11"/>
    </xf>
    <xf numFmtId="0" fontId="0" fillId="6" borderId="0" xfId="0" applyFill="1" applyAlignment="1">
      <alignment horizontal="left" indent="53"/>
    </xf>
    <xf numFmtId="0" fontId="3" fillId="0" borderId="0" xfId="0" applyFont="1" applyAlignment="1">
      <alignment horizontal="left" indent="22"/>
    </xf>
    <xf numFmtId="0" fontId="1" fillId="0" borderId="0" xfId="0" applyFont="1"/>
    <xf numFmtId="0" fontId="0" fillId="0" borderId="0" xfId="0" applyAlignment="1">
      <alignment horizontal="center"/>
    </xf>
    <xf numFmtId="0" fontId="0" fillId="6" borderId="0" xfId="0" applyFill="1"/>
    <xf numFmtId="42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I$2" max="30000" page="10" val="3"/>
</file>

<file path=xl/ctrlProps/ctrlProp2.xml><?xml version="1.0" encoding="utf-8"?>
<formControlPr xmlns="http://schemas.microsoft.com/office/spreadsheetml/2009/9/main" objectType="List" dx="22" fmlaLink="$I$2" fmlaRange="'BASED DATA'!$C$9:$C$18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3</xdr:row>
          <xdr:rowOff>19050</xdr:rowOff>
        </xdr:from>
        <xdr:to>
          <xdr:col>9</xdr:col>
          <xdr:colOff>19050</xdr:colOff>
          <xdr:row>9</xdr:row>
          <xdr:rowOff>38100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3</xdr:row>
          <xdr:rowOff>0</xdr:rowOff>
        </xdr:from>
        <xdr:to>
          <xdr:col>11</xdr:col>
          <xdr:colOff>9525</xdr:colOff>
          <xdr:row>9</xdr:row>
          <xdr:rowOff>19050</xdr:rowOff>
        </xdr:to>
        <xdr:sp macro="" textlink="">
          <xdr:nvSpPr>
            <xdr:cNvPr id="2051" name="List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0AF2-4344-4F9D-820F-6FC0E32E6C43}">
  <dimension ref="A1:T36"/>
  <sheetViews>
    <sheetView topLeftCell="A4" workbookViewId="0">
      <selection activeCell="A7" sqref="A7"/>
    </sheetView>
  </sheetViews>
  <sheetFormatPr defaultRowHeight="15" x14ac:dyDescent="0.25"/>
  <cols>
    <col min="1" max="1" width="15" customWidth="1"/>
    <col min="2" max="2" width="14.85546875" customWidth="1"/>
    <col min="3" max="3" width="21.85546875" customWidth="1"/>
    <col min="4" max="4" width="21.140625" customWidth="1"/>
    <col min="5" max="5" width="24.140625" customWidth="1"/>
    <col min="6" max="6" width="28.42578125" customWidth="1"/>
    <col min="7" max="7" width="28.5703125" customWidth="1"/>
    <col min="8" max="8" width="15.140625" customWidth="1"/>
    <col min="9" max="9" width="14.7109375" customWidth="1"/>
    <col min="10" max="10" width="26" customWidth="1"/>
    <col min="11" max="11" width="22.42578125" customWidth="1"/>
    <col min="12" max="12" width="16.140625" customWidth="1"/>
    <col min="13" max="13" width="20.28515625" customWidth="1"/>
    <col min="14" max="14" width="16.140625" customWidth="1"/>
    <col min="15" max="16" width="14.42578125" customWidth="1"/>
    <col min="17" max="17" width="20.5703125" customWidth="1"/>
    <col min="18" max="18" width="25.85546875" customWidth="1"/>
    <col min="19" max="19" width="17.140625" customWidth="1"/>
    <col min="20" max="20" width="12.28515625" customWidth="1"/>
  </cols>
  <sheetData>
    <row r="1" spans="1:19" x14ac:dyDescent="0.25">
      <c r="A1" s="27" t="s">
        <v>0</v>
      </c>
      <c r="B1" s="28"/>
      <c r="C1" s="29"/>
    </row>
    <row r="2" spans="1:19" x14ac:dyDescent="0.25">
      <c r="A2" s="30" t="s">
        <v>1</v>
      </c>
      <c r="B2" s="31"/>
      <c r="C2" s="32"/>
    </row>
    <row r="3" spans="1:19" ht="15.75" thickBot="1" x14ac:dyDescent="0.3">
      <c r="A3" s="33" t="s">
        <v>2</v>
      </c>
      <c r="B3" s="34"/>
      <c r="C3" s="35"/>
    </row>
    <row r="7" spans="1:19" x14ac:dyDescent="0.25">
      <c r="A7"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>
        <v>10</v>
      </c>
      <c r="K7">
        <v>11</v>
      </c>
      <c r="L7">
        <v>12</v>
      </c>
      <c r="M7">
        <v>13</v>
      </c>
      <c r="N7">
        <v>14</v>
      </c>
      <c r="O7">
        <v>15</v>
      </c>
      <c r="P7">
        <v>16</v>
      </c>
      <c r="Q7">
        <v>17</v>
      </c>
      <c r="R7">
        <v>18</v>
      </c>
      <c r="S7">
        <v>19</v>
      </c>
    </row>
    <row r="8" spans="1:19" ht="38.25" customHeight="1" x14ac:dyDescent="0.25">
      <c r="A8" s="1" t="s">
        <v>3</v>
      </c>
      <c r="B8" s="2" t="s">
        <v>4</v>
      </c>
      <c r="C8" s="3" t="s">
        <v>5</v>
      </c>
      <c r="D8" s="3" t="s">
        <v>6</v>
      </c>
      <c r="E8" s="3" t="s">
        <v>7</v>
      </c>
      <c r="F8" s="4" t="s">
        <v>8</v>
      </c>
      <c r="G8" s="5" t="s">
        <v>9</v>
      </c>
      <c r="H8" s="3" t="s">
        <v>10</v>
      </c>
      <c r="I8" s="3" t="s">
        <v>38</v>
      </c>
      <c r="J8" s="3" t="s">
        <v>11</v>
      </c>
      <c r="K8" s="3" t="s">
        <v>30</v>
      </c>
      <c r="L8" s="3" t="s">
        <v>42</v>
      </c>
      <c r="M8" s="3" t="s">
        <v>27</v>
      </c>
      <c r="N8" s="3" t="s">
        <v>43</v>
      </c>
      <c r="O8" s="3" t="s">
        <v>28</v>
      </c>
      <c r="P8" s="3" t="s">
        <v>44</v>
      </c>
      <c r="Q8" s="3" t="s">
        <v>45</v>
      </c>
      <c r="R8" s="5" t="s">
        <v>46</v>
      </c>
      <c r="S8" s="5" t="s">
        <v>47</v>
      </c>
    </row>
    <row r="9" spans="1:19" x14ac:dyDescent="0.25">
      <c r="A9" s="37">
        <v>1</v>
      </c>
      <c r="B9" s="38" t="s">
        <v>35</v>
      </c>
      <c r="C9" s="37" t="s">
        <v>12</v>
      </c>
      <c r="D9" s="37" t="s">
        <v>22</v>
      </c>
      <c r="E9" s="37" t="str">
        <f>VLOOKUP(LEFT(B9,2),G21:H24,2,FALSE)</f>
        <v>MANAGER</v>
      </c>
      <c r="F9" s="39">
        <f>DATE(2018,2,23)</f>
        <v>43154</v>
      </c>
      <c r="G9" s="37" t="str">
        <f ca="1">DATEDIF(F9,NOW(),"Y")&amp;"TAHUN"</f>
        <v>8TAHUN</v>
      </c>
      <c r="H9" s="40">
        <f>VLOOKUP(LEFT(B9,2),A22:B24,2)</f>
        <v>13000000</v>
      </c>
      <c r="I9" s="37" t="s">
        <v>39</v>
      </c>
      <c r="J9" s="41">
        <f>VLOOKUP(RIGHT(I9,2),E22:F24,2,FALSE)</f>
        <v>200000</v>
      </c>
      <c r="K9" s="42">
        <f>N22</f>
        <v>350000</v>
      </c>
      <c r="L9" s="42">
        <f>VLOOKUP(LEFT(B9,2),O22:P24,2,FALSE)</f>
        <v>11000000</v>
      </c>
      <c r="M9" s="42">
        <f>VLOOKUP(LEFT(B9,2),C22:D24,2)</f>
        <v>6500000</v>
      </c>
      <c r="N9" s="42">
        <f>VLOOKUP(LEFT(B9,2),Q22:R24,2)</f>
        <v>6000000</v>
      </c>
      <c r="O9" s="42">
        <f>VLOOKUP(LEFT(B9,2),I22:J24,2,FALSE)</f>
        <v>13000000</v>
      </c>
      <c r="P9" s="42">
        <f>10*T22</f>
        <v>5000000</v>
      </c>
      <c r="Q9" s="42">
        <v>500000</v>
      </c>
      <c r="R9" s="40">
        <f t="shared" ref="R9:R18" si="0">(H9+M9+J9+N9+K9+P9+L9+Q9)</f>
        <v>42550000</v>
      </c>
      <c r="S9" s="44">
        <f t="shared" ref="S9:S18" si="1">R9*12</f>
        <v>510600000</v>
      </c>
    </row>
    <row r="10" spans="1:19" x14ac:dyDescent="0.25">
      <c r="A10" s="37">
        <v>2</v>
      </c>
      <c r="B10" s="38" t="s">
        <v>35</v>
      </c>
      <c r="C10" s="37" t="s">
        <v>13</v>
      </c>
      <c r="D10" s="37" t="s">
        <v>22</v>
      </c>
      <c r="E10" s="37" t="str">
        <f>VLOOKUP(LEFT(B10,2),G21:H24,2,FALSE)</f>
        <v>MANAGER</v>
      </c>
      <c r="F10" s="39">
        <f>DATE(2018,6,5)</f>
        <v>43256</v>
      </c>
      <c r="G10" s="37" t="str">
        <f t="shared" ref="G10:G18" ca="1" si="2">DATEDIF(F10,NOW(),"Y")&amp;"TAHUN"</f>
        <v>7TAHUN</v>
      </c>
      <c r="H10" s="40">
        <f>VLOOKUP(LEFT(B10,2),A22:B24,2)</f>
        <v>13000000</v>
      </c>
      <c r="I10" s="37" t="s">
        <v>39</v>
      </c>
      <c r="J10" s="42">
        <f>VLOOKUP(RIGHT(I10,2),E22:F24,2,FALSE)</f>
        <v>200000</v>
      </c>
      <c r="K10" s="42">
        <f>N22</f>
        <v>350000</v>
      </c>
      <c r="L10" s="42">
        <f>VLOOKUP(LEFT(B10,2),O22:P24,2,FALSE)</f>
        <v>11000000</v>
      </c>
      <c r="M10" s="42">
        <f>VLOOKUP(LEFT(B10,2),C22:D24,2)</f>
        <v>6500000</v>
      </c>
      <c r="N10" s="42">
        <f>VLOOKUP(LEFT(B10,2),Q22:R24,2)</f>
        <v>6000000</v>
      </c>
      <c r="O10" s="42">
        <f>VLOOKUP(LEFT(B10,2),I22:J24,2,FALSE)</f>
        <v>13000000</v>
      </c>
      <c r="P10" s="42">
        <f>10*T22</f>
        <v>5000000</v>
      </c>
      <c r="Q10" s="42">
        <v>500000</v>
      </c>
      <c r="R10" s="40">
        <f t="shared" si="0"/>
        <v>42550000</v>
      </c>
      <c r="S10" s="44">
        <f t="shared" si="1"/>
        <v>510600000</v>
      </c>
    </row>
    <row r="11" spans="1:19" x14ac:dyDescent="0.25">
      <c r="A11" s="37">
        <v>3</v>
      </c>
      <c r="B11" s="38" t="s">
        <v>35</v>
      </c>
      <c r="C11" s="37" t="s">
        <v>14</v>
      </c>
      <c r="D11" s="37" t="s">
        <v>22</v>
      </c>
      <c r="E11" s="37" t="str">
        <f>VLOOKUP(LEFT(B11,2),G21:H24,2,FALSE)</f>
        <v>MANAGER</v>
      </c>
      <c r="F11" s="43">
        <f>DATE(2021,12,15)</f>
        <v>44545</v>
      </c>
      <c r="G11" s="37" t="str">
        <f t="shared" ca="1" si="2"/>
        <v>4TAHUN</v>
      </c>
      <c r="H11" s="40">
        <f>VLOOKUP(LEFT(B11,2),A22:B24,2)</f>
        <v>13000000</v>
      </c>
      <c r="I11" s="37" t="s">
        <v>39</v>
      </c>
      <c r="J11" s="42">
        <f>VLOOKUP(RIGHT(I11,2),E22:F24,2,FALSE)</f>
        <v>200000</v>
      </c>
      <c r="K11" s="42">
        <f>N22</f>
        <v>350000</v>
      </c>
      <c r="L11" s="42">
        <f>VLOOKUP(LEFT(B11,2),O22:P24,2,FALSE)</f>
        <v>11000000</v>
      </c>
      <c r="M11" s="42">
        <f>VLOOKUP(LEFT(B11,2),C22:D24,2)</f>
        <v>6500000</v>
      </c>
      <c r="N11" s="42">
        <f>VLOOKUP(LEFT(B11,2),Q22:R24,2)</f>
        <v>6000000</v>
      </c>
      <c r="O11" s="42">
        <f>VLOOKUP(LEFT(B11,2),I22:J24,2,FALSE)</f>
        <v>13000000</v>
      </c>
      <c r="P11" s="42">
        <f>10*T22</f>
        <v>5000000</v>
      </c>
      <c r="Q11" s="42">
        <v>500000</v>
      </c>
      <c r="R11" s="40">
        <f t="shared" si="0"/>
        <v>42550000</v>
      </c>
      <c r="S11" s="44">
        <f t="shared" si="1"/>
        <v>510600000</v>
      </c>
    </row>
    <row r="12" spans="1:19" x14ac:dyDescent="0.25">
      <c r="A12" s="37">
        <v>4</v>
      </c>
      <c r="B12" s="38" t="s">
        <v>36</v>
      </c>
      <c r="C12" s="37" t="s">
        <v>15</v>
      </c>
      <c r="D12" s="37" t="s">
        <v>22</v>
      </c>
      <c r="E12" s="37" t="str">
        <f>VLOOKUP(LEFT(B12,2),G21:H24,2,FALSE)</f>
        <v>SUPERVISOR</v>
      </c>
      <c r="F12" s="39">
        <f>DATE(2022,5,12)</f>
        <v>44693</v>
      </c>
      <c r="G12" s="37" t="str">
        <f t="shared" ca="1" si="2"/>
        <v>3TAHUN</v>
      </c>
      <c r="H12" s="40">
        <f>VLOOKUP(LEFT(B12,2),A22:B24,2)</f>
        <v>8000000</v>
      </c>
      <c r="I12" s="37" t="s">
        <v>40</v>
      </c>
      <c r="J12" s="42">
        <f>VLOOKUP(RIGHT(I12,2),E22:F24,2,FALSE)</f>
        <v>100000</v>
      </c>
      <c r="K12" s="42">
        <f>N23</f>
        <v>180000</v>
      </c>
      <c r="L12" s="42">
        <f>VLOOKUP(LEFT(B12,2),O22:P24,2,FALSE)</f>
        <v>7600000</v>
      </c>
      <c r="M12" s="42">
        <f>VLOOKUP(LEFT(B12,2),C22:D24,2)</f>
        <v>4000000</v>
      </c>
      <c r="N12" s="42">
        <f>VLOOKUP(LEFT(B12,2),Q22:R24,2)</f>
        <v>4500000</v>
      </c>
      <c r="O12" s="42">
        <f>VLOOKUP(LEFT(B12,2),I22:J24,2,FALSE)</f>
        <v>10500000</v>
      </c>
      <c r="P12" s="42">
        <f>10*T23</f>
        <v>4500000</v>
      </c>
      <c r="Q12" s="42">
        <v>450000</v>
      </c>
      <c r="R12" s="40">
        <f t="shared" si="0"/>
        <v>29330000</v>
      </c>
      <c r="S12" s="44">
        <f t="shared" si="1"/>
        <v>351960000</v>
      </c>
    </row>
    <row r="13" spans="1:19" x14ac:dyDescent="0.25">
      <c r="A13" s="37">
        <v>5</v>
      </c>
      <c r="B13" s="38" t="s">
        <v>36</v>
      </c>
      <c r="C13" s="37" t="s">
        <v>16</v>
      </c>
      <c r="D13" s="37" t="s">
        <v>22</v>
      </c>
      <c r="E13" s="37" t="str">
        <f>VLOOKUP(LEFT(B13,2),G21:H24,2,FALSE)</f>
        <v>SUPERVISOR</v>
      </c>
      <c r="F13" s="43">
        <f>DATE(2018,1,17)</f>
        <v>43117</v>
      </c>
      <c r="G13" s="37" t="str">
        <f t="shared" ca="1" si="2"/>
        <v>8TAHUN</v>
      </c>
      <c r="H13" s="40">
        <f>VLOOKUP(LEFT(B13,2),A22:B24,2)</f>
        <v>8000000</v>
      </c>
      <c r="I13" s="37" t="s">
        <v>41</v>
      </c>
      <c r="J13" s="42">
        <f>VLOOKUP(RIGHT(I13,2),E22:F24,2,FALSE)</f>
        <v>55000</v>
      </c>
      <c r="K13" s="42">
        <f>N23</f>
        <v>180000</v>
      </c>
      <c r="L13" s="42">
        <f>VLOOKUP(LEFT(B13,2),O22:P24,2,FALSE)</f>
        <v>7600000</v>
      </c>
      <c r="M13" s="42">
        <f>VLOOKUP(LEFT(B13,2),C22:D24,2)</f>
        <v>4000000</v>
      </c>
      <c r="N13" s="42">
        <f>VLOOKUP(LEFT(B13,2),Q22:R24,2)</f>
        <v>4500000</v>
      </c>
      <c r="O13" s="42">
        <f>VLOOKUP(LEFT(B13,2),I22:J24,2,FALSE)</f>
        <v>10500000</v>
      </c>
      <c r="P13" s="42">
        <f>10*T23</f>
        <v>4500000</v>
      </c>
      <c r="Q13" s="42">
        <v>400000</v>
      </c>
      <c r="R13" s="40">
        <f t="shared" si="0"/>
        <v>29235000</v>
      </c>
      <c r="S13" s="44">
        <f t="shared" si="1"/>
        <v>350820000</v>
      </c>
    </row>
    <row r="14" spans="1:19" x14ac:dyDescent="0.25">
      <c r="A14" s="37">
        <v>6</v>
      </c>
      <c r="B14" s="38" t="s">
        <v>36</v>
      </c>
      <c r="C14" s="37" t="s">
        <v>17</v>
      </c>
      <c r="D14" s="37" t="s">
        <v>22</v>
      </c>
      <c r="E14" s="37" t="str">
        <f>VLOOKUP(LEFT(B14,2),G21:H24,2,FALSE)</f>
        <v>SUPERVISOR</v>
      </c>
      <c r="F14" s="39">
        <f>DATE(2022,1,1)</f>
        <v>44562</v>
      </c>
      <c r="G14" s="37" t="str">
        <f t="shared" ca="1" si="2"/>
        <v>4TAHUN</v>
      </c>
      <c r="H14" s="40">
        <f>VLOOKUP(LEFT(B14,2),A22:B24,2)</f>
        <v>8000000</v>
      </c>
      <c r="I14" s="37" t="s">
        <v>41</v>
      </c>
      <c r="J14" s="42">
        <f>VLOOKUP(RIGHT(I14,2),E22:F24,2,FALSE)</f>
        <v>55000</v>
      </c>
      <c r="K14" s="42">
        <f>N23</f>
        <v>180000</v>
      </c>
      <c r="L14" s="42">
        <f>VLOOKUP(RIGHT(B14,2),O22:P24,2,FALSE)</f>
        <v>7600000</v>
      </c>
      <c r="M14" s="42">
        <f>VLOOKUP(LEFT(B14,2),C22:D24,2)</f>
        <v>4000000</v>
      </c>
      <c r="N14" s="42">
        <f>VLOOKUP(LEFT(B14,2),Q22:R24,2)</f>
        <v>4500000</v>
      </c>
      <c r="O14" s="42">
        <f>VLOOKUP(LEFT(B14,2),I22:J24,2,FALSE)</f>
        <v>10500000</v>
      </c>
      <c r="P14" s="42">
        <f>10*T23</f>
        <v>4500000</v>
      </c>
      <c r="Q14" s="42">
        <v>450000</v>
      </c>
      <c r="R14" s="40">
        <f t="shared" si="0"/>
        <v>29285000</v>
      </c>
      <c r="S14" s="44">
        <f t="shared" si="1"/>
        <v>351420000</v>
      </c>
    </row>
    <row r="15" spans="1:19" x14ac:dyDescent="0.25">
      <c r="A15" s="37">
        <v>7</v>
      </c>
      <c r="B15" s="38" t="s">
        <v>36</v>
      </c>
      <c r="C15" s="37" t="s">
        <v>18</v>
      </c>
      <c r="D15" s="37" t="s">
        <v>22</v>
      </c>
      <c r="E15" s="37" t="str">
        <f>VLOOKUP(LEFT(B15,2),G21:H24,2,FALSE)</f>
        <v>SUPERVISOR</v>
      </c>
      <c r="F15" s="43">
        <f>DATE(2023,8,13)</f>
        <v>45151</v>
      </c>
      <c r="G15" s="37" t="str">
        <f t="shared" ca="1" si="2"/>
        <v>2TAHUN</v>
      </c>
      <c r="H15" s="40">
        <f>VLOOKUP(LEFT(B15,2),A22:B24,2)</f>
        <v>8000000</v>
      </c>
      <c r="I15" s="37" t="s">
        <v>40</v>
      </c>
      <c r="J15" s="42">
        <f>VLOOKUP(RIGHT(I15,2),E22:F24,2,FALSE)</f>
        <v>100000</v>
      </c>
      <c r="K15" s="42">
        <f>N23</f>
        <v>180000</v>
      </c>
      <c r="L15" s="42">
        <f>VLOOKUP(LEFT(B15,2),O22:P24,2,FALSE)</f>
        <v>7600000</v>
      </c>
      <c r="M15" s="42">
        <f>VLOOKUP(LEFT(B15,2),C22:D24,2)</f>
        <v>4000000</v>
      </c>
      <c r="N15" s="42">
        <f>VLOOKUP(LEFT(B15,2),Q22:R24,2)</f>
        <v>4500000</v>
      </c>
      <c r="O15" s="42">
        <f>VLOOKUP(LEFT(B15,2),I22:J24,2,FALSE)</f>
        <v>10500000</v>
      </c>
      <c r="P15" s="42">
        <f>10*T23</f>
        <v>4500000</v>
      </c>
      <c r="Q15" s="42">
        <v>390000</v>
      </c>
      <c r="R15" s="40">
        <f t="shared" si="0"/>
        <v>29270000</v>
      </c>
      <c r="S15" s="44">
        <f t="shared" si="1"/>
        <v>351240000</v>
      </c>
    </row>
    <row r="16" spans="1:19" ht="15" customHeight="1" x14ac:dyDescent="0.25">
      <c r="A16" s="37">
        <v>8</v>
      </c>
      <c r="B16" s="38" t="s">
        <v>37</v>
      </c>
      <c r="C16" s="37" t="s">
        <v>19</v>
      </c>
      <c r="D16" s="37" t="s">
        <v>22</v>
      </c>
      <c r="E16" s="37" t="str">
        <f>VLOOKUP(LEFT(B16,2),G21:H24,2,FALSE)</f>
        <v>STAFF</v>
      </c>
      <c r="F16" s="43">
        <f>DATE(2019,7,19)</f>
        <v>43665</v>
      </c>
      <c r="G16" s="37" t="str">
        <f t="shared" ca="1" si="2"/>
        <v>6TAHUN</v>
      </c>
      <c r="H16" s="40">
        <f>VLOOKUP(LEFT(B16,2),A22:B24,2)</f>
        <v>73000000</v>
      </c>
      <c r="I16" s="37" t="s">
        <v>39</v>
      </c>
      <c r="J16" s="42">
        <f>VLOOKUP(RIGHT(I16,2),E22:F24,2,FALSE)</f>
        <v>200000</v>
      </c>
      <c r="K16" s="42">
        <f>N24</f>
        <v>400000</v>
      </c>
      <c r="L16" s="42">
        <f>VLOOKUP(RIGHT(B16,2),O22:P24,2,FALSE)</f>
        <v>5500000</v>
      </c>
      <c r="M16" s="42">
        <f>VLOOKUP(LEFT(B16,2),C22:D24,2)</f>
        <v>36500000</v>
      </c>
      <c r="N16" s="42">
        <f>VLOOKUP(LEFT(B16,2),Q22:R24,2)</f>
        <v>7500000</v>
      </c>
      <c r="O16" s="42">
        <f>VLOOKUP(LEFT(B16,2),I22:J24,2,FALSE)</f>
        <v>7300000</v>
      </c>
      <c r="P16" s="42">
        <f>10*T24</f>
        <v>3000000</v>
      </c>
      <c r="Q16" s="42">
        <v>390000</v>
      </c>
      <c r="R16" s="40">
        <f t="shared" si="0"/>
        <v>126490000</v>
      </c>
      <c r="S16" s="44">
        <f t="shared" si="1"/>
        <v>1517880000</v>
      </c>
    </row>
    <row r="17" spans="1:20" x14ac:dyDescent="0.25">
      <c r="A17" s="37">
        <v>9</v>
      </c>
      <c r="B17" s="38" t="s">
        <v>37</v>
      </c>
      <c r="C17" s="37" t="s">
        <v>20</v>
      </c>
      <c r="D17" s="37" t="s">
        <v>22</v>
      </c>
      <c r="E17" s="37" t="str">
        <f>VLOOKUP(LEFT(B17,2),G21:H24,2,FALSE)</f>
        <v>STAFF</v>
      </c>
      <c r="F17" s="43">
        <f>DATE(2021,10,23)</f>
        <v>44492</v>
      </c>
      <c r="G17" s="37" t="str">
        <f t="shared" ca="1" si="2"/>
        <v>4TAHUN</v>
      </c>
      <c r="H17" s="40">
        <f>VLOOKUP(LEFT(B17,2),A22:B24,2)</f>
        <v>73000000</v>
      </c>
      <c r="I17" s="37" t="s">
        <v>39</v>
      </c>
      <c r="J17" s="42">
        <f>VLOOKUP(RIGHT(I17,2),E22:F24,2,FALSE)</f>
        <v>200000</v>
      </c>
      <c r="K17" s="42">
        <f>N24</f>
        <v>400000</v>
      </c>
      <c r="L17" s="42">
        <f>VLOOKUP(RIGHT(B17,2),O22:P24,2,FALSE)</f>
        <v>5500000</v>
      </c>
      <c r="M17" s="42">
        <f>VLOOKUP(LEFT(B17,2),C22:D24,2)</f>
        <v>36500000</v>
      </c>
      <c r="N17" s="42">
        <f>VLOOKUP(LEFT(B17,2),Q22:R24,2)</f>
        <v>7500000</v>
      </c>
      <c r="O17" s="42">
        <f>VLOOKUP(LEFT(B17,2),I22:J24,2,FALSE)</f>
        <v>7300000</v>
      </c>
      <c r="P17" s="42">
        <f>10*T24</f>
        <v>3000000</v>
      </c>
      <c r="Q17" s="42">
        <v>390000</v>
      </c>
      <c r="R17" s="40">
        <f t="shared" si="0"/>
        <v>126490000</v>
      </c>
      <c r="S17" s="44">
        <f t="shared" si="1"/>
        <v>1517880000</v>
      </c>
    </row>
    <row r="18" spans="1:20" x14ac:dyDescent="0.25">
      <c r="A18" s="37">
        <v>10</v>
      </c>
      <c r="B18" s="38" t="s">
        <v>37</v>
      </c>
      <c r="C18" s="37" t="s">
        <v>21</v>
      </c>
      <c r="D18" s="37" t="s">
        <v>22</v>
      </c>
      <c r="E18" s="37" t="str">
        <f>VLOOKUP(LEFT(B18,2),G21:H24,2,FALSE)</f>
        <v>STAFF</v>
      </c>
      <c r="F18" s="43">
        <f>DATE(2023,2,28)</f>
        <v>44985</v>
      </c>
      <c r="G18" s="37" t="str">
        <f t="shared" ca="1" si="2"/>
        <v>3TAHUN</v>
      </c>
      <c r="H18" s="40">
        <f>VLOOKUP(LEFT(B18,2),A22:B24,2)</f>
        <v>73000000</v>
      </c>
      <c r="I18" s="37" t="s">
        <v>39</v>
      </c>
      <c r="J18" s="42">
        <f>VLOOKUP(RIGHT(I18,2),E22:F24,2,FALSE)</f>
        <v>200000</v>
      </c>
      <c r="K18" s="42">
        <f>N24</f>
        <v>400000</v>
      </c>
      <c r="L18" s="42">
        <f>VLOOKUP(RIGHT(B18,2),O22:P24,2,FALSE)</f>
        <v>5500000</v>
      </c>
      <c r="M18" s="42">
        <f>VLOOKUP(LEFT(B18,2),C22:D24,2)</f>
        <v>36500000</v>
      </c>
      <c r="N18" s="42">
        <f>VLOOKUP(LEFT(B18,2),Q22:R24,2)</f>
        <v>7500000</v>
      </c>
      <c r="O18" s="42">
        <f>VLOOKUP(LEFT(B18,2),I22:J24,2,FALSE)</f>
        <v>7300000</v>
      </c>
      <c r="P18" s="42">
        <f>10*T24</f>
        <v>3000000</v>
      </c>
      <c r="Q18" s="42">
        <v>390000</v>
      </c>
      <c r="R18" s="40">
        <f t="shared" si="0"/>
        <v>126490000</v>
      </c>
      <c r="S18" s="44">
        <f t="shared" si="1"/>
        <v>1517880000</v>
      </c>
    </row>
    <row r="20" spans="1:20" x14ac:dyDescent="0.25">
      <c r="A20" s="56">
        <v>20</v>
      </c>
      <c r="B20">
        <v>21</v>
      </c>
      <c r="C20">
        <v>22</v>
      </c>
      <c r="D20">
        <v>23</v>
      </c>
      <c r="E20">
        <v>24</v>
      </c>
      <c r="F20">
        <v>25</v>
      </c>
      <c r="G20">
        <v>26</v>
      </c>
      <c r="H20">
        <v>27</v>
      </c>
      <c r="I20">
        <v>28</v>
      </c>
      <c r="J20">
        <v>29</v>
      </c>
      <c r="K20">
        <v>30</v>
      </c>
      <c r="L20">
        <v>31</v>
      </c>
      <c r="M20">
        <v>32</v>
      </c>
      <c r="N20">
        <v>33</v>
      </c>
      <c r="O20">
        <v>34</v>
      </c>
      <c r="P20">
        <v>35</v>
      </c>
      <c r="Q20" s="57">
        <v>36</v>
      </c>
      <c r="R20">
        <v>37</v>
      </c>
      <c r="S20">
        <v>38</v>
      </c>
      <c r="T20">
        <v>39</v>
      </c>
    </row>
    <row r="21" spans="1:20" ht="25.5" customHeight="1" x14ac:dyDescent="0.25">
      <c r="A21" s="6" t="s">
        <v>24</v>
      </c>
      <c r="B21" s="7" t="s">
        <v>25</v>
      </c>
      <c r="C21" s="6" t="s">
        <v>26</v>
      </c>
      <c r="D21" s="6" t="s">
        <v>27</v>
      </c>
      <c r="E21" s="6" t="s">
        <v>26</v>
      </c>
      <c r="F21" s="8" t="s">
        <v>11</v>
      </c>
      <c r="G21" s="6" t="s">
        <v>26</v>
      </c>
      <c r="H21" s="6" t="s">
        <v>7</v>
      </c>
      <c r="I21" s="6" t="s">
        <v>26</v>
      </c>
      <c r="J21" s="9" t="s">
        <v>28</v>
      </c>
      <c r="K21" s="10" t="s">
        <v>29</v>
      </c>
      <c r="L21" s="11"/>
      <c r="M21" s="12" t="s">
        <v>26</v>
      </c>
      <c r="N21" s="13" t="s">
        <v>30</v>
      </c>
      <c r="O21" s="14" t="s">
        <v>26</v>
      </c>
      <c r="P21" s="14" t="s">
        <v>42</v>
      </c>
      <c r="Q21" s="6" t="s">
        <v>26</v>
      </c>
      <c r="R21" s="6" t="s">
        <v>43</v>
      </c>
      <c r="S21" s="6" t="s">
        <v>26</v>
      </c>
      <c r="T21" s="6" t="s">
        <v>44</v>
      </c>
    </row>
    <row r="22" spans="1:20" x14ac:dyDescent="0.25">
      <c r="A22" s="25" t="s">
        <v>35</v>
      </c>
      <c r="B22" s="26">
        <v>13000000</v>
      </c>
      <c r="C22" s="15" t="s">
        <v>35</v>
      </c>
      <c r="D22" s="20">
        <f>IF(C22="MR",B22*50%)</f>
        <v>6500000</v>
      </c>
      <c r="E22" s="15" t="s">
        <v>39</v>
      </c>
      <c r="F22" s="20">
        <v>200000</v>
      </c>
      <c r="G22" s="15" t="s">
        <v>35</v>
      </c>
      <c r="H22" s="15" t="s">
        <v>31</v>
      </c>
      <c r="I22" s="15" t="s">
        <v>35</v>
      </c>
      <c r="J22" s="16">
        <v>13000000</v>
      </c>
      <c r="K22" s="17"/>
      <c r="L22" s="18">
        <v>65000</v>
      </c>
      <c r="M22" s="19" t="s">
        <v>35</v>
      </c>
      <c r="N22" s="20">
        <v>350000</v>
      </c>
      <c r="O22" s="15" t="s">
        <v>35</v>
      </c>
      <c r="P22" s="20">
        <v>11000000</v>
      </c>
      <c r="Q22" s="15" t="s">
        <v>35</v>
      </c>
      <c r="R22" s="20">
        <v>6000000</v>
      </c>
      <c r="S22" s="15" t="s">
        <v>35</v>
      </c>
      <c r="T22" s="20">
        <v>500000</v>
      </c>
    </row>
    <row r="23" spans="1:20" x14ac:dyDescent="0.25">
      <c r="A23" s="25" t="s">
        <v>36</v>
      </c>
      <c r="B23" s="26">
        <v>8000000</v>
      </c>
      <c r="C23" s="15" t="s">
        <v>36</v>
      </c>
      <c r="D23" s="20">
        <f>IF(C23="SP",B23*50%)</f>
        <v>4000000</v>
      </c>
      <c r="E23" s="15" t="s">
        <v>40</v>
      </c>
      <c r="F23" s="20">
        <v>100000</v>
      </c>
      <c r="G23" s="15" t="s">
        <v>36</v>
      </c>
      <c r="H23" s="15" t="s">
        <v>23</v>
      </c>
      <c r="I23" s="15" t="s">
        <v>36</v>
      </c>
      <c r="J23" s="21">
        <v>10500000</v>
      </c>
      <c r="K23" s="17" t="s">
        <v>33</v>
      </c>
      <c r="L23" s="18">
        <v>65000</v>
      </c>
      <c r="M23" s="15" t="s">
        <v>36</v>
      </c>
      <c r="N23" s="20">
        <v>180000</v>
      </c>
      <c r="O23" s="15" t="s">
        <v>36</v>
      </c>
      <c r="P23" s="20">
        <v>7600000</v>
      </c>
      <c r="Q23" s="15" t="s">
        <v>36</v>
      </c>
      <c r="R23" s="20">
        <v>4500000</v>
      </c>
      <c r="S23" s="15" t="s">
        <v>36</v>
      </c>
      <c r="T23" s="20">
        <v>450000</v>
      </c>
    </row>
    <row r="24" spans="1:20" x14ac:dyDescent="0.25">
      <c r="A24" s="25" t="s">
        <v>37</v>
      </c>
      <c r="B24" s="26">
        <v>73000000</v>
      </c>
      <c r="C24" s="15" t="s">
        <v>37</v>
      </c>
      <c r="D24" s="20">
        <f>IF(C24="ST",B24*50%)</f>
        <v>36500000</v>
      </c>
      <c r="E24" s="15" t="s">
        <v>41</v>
      </c>
      <c r="F24" s="20">
        <v>55000</v>
      </c>
      <c r="G24" s="15" t="s">
        <v>37</v>
      </c>
      <c r="H24" s="15" t="s">
        <v>32</v>
      </c>
      <c r="I24" s="15" t="s">
        <v>37</v>
      </c>
      <c r="J24" s="22">
        <v>7300000</v>
      </c>
      <c r="K24" s="23" t="s">
        <v>34</v>
      </c>
      <c r="L24" s="24">
        <v>65000</v>
      </c>
      <c r="M24" s="15" t="s">
        <v>37</v>
      </c>
      <c r="N24" s="20">
        <v>400000</v>
      </c>
      <c r="O24" s="15" t="s">
        <v>37</v>
      </c>
      <c r="P24" s="20">
        <v>5500000</v>
      </c>
      <c r="Q24" s="15" t="s">
        <v>37</v>
      </c>
      <c r="R24" s="20">
        <v>7500000</v>
      </c>
      <c r="S24" s="15" t="s">
        <v>37</v>
      </c>
      <c r="T24" s="20">
        <v>300000</v>
      </c>
    </row>
    <row r="27" spans="1:20" x14ac:dyDescent="0.25">
      <c r="A27" s="52" t="s">
        <v>48</v>
      </c>
      <c r="L27" s="51"/>
      <c r="M27" s="47"/>
    </row>
    <row r="28" spans="1:20" x14ac:dyDescent="0.25">
      <c r="A28" t="s">
        <v>49</v>
      </c>
      <c r="C28" t="s">
        <v>49</v>
      </c>
      <c r="D28" t="s">
        <v>52</v>
      </c>
      <c r="E28" t="s">
        <v>54</v>
      </c>
      <c r="F28" t="s">
        <v>54</v>
      </c>
      <c r="G28" t="s">
        <v>54</v>
      </c>
      <c r="H28" t="s">
        <v>58</v>
      </c>
      <c r="J28" t="s">
        <v>60</v>
      </c>
      <c r="K28" s="45" t="s">
        <v>62</v>
      </c>
      <c r="L28" s="46"/>
      <c r="M28" s="49"/>
    </row>
    <row r="29" spans="1:20" x14ac:dyDescent="0.25">
      <c r="A29" t="s">
        <v>50</v>
      </c>
      <c r="C29" t="s">
        <v>51</v>
      </c>
      <c r="D29" t="s">
        <v>53</v>
      </c>
      <c r="E29" t="s">
        <v>55</v>
      </c>
      <c r="F29" t="s">
        <v>56</v>
      </c>
      <c r="G29" t="s">
        <v>57</v>
      </c>
      <c r="H29" t="s">
        <v>59</v>
      </c>
      <c r="J29" t="s">
        <v>61</v>
      </c>
      <c r="K29" s="45"/>
      <c r="L29" s="48"/>
      <c r="M29" s="50"/>
    </row>
    <row r="30" spans="1:20" x14ac:dyDescent="0.25">
      <c r="A30" s="36">
        <f>(H9+M9+J9+K9+P9+L9+Q9)*4%</f>
        <v>1462000</v>
      </c>
    </row>
    <row r="31" spans="1:20" x14ac:dyDescent="0.25">
      <c r="A31" s="36">
        <f>(H9+M9+J9+K9+P9+L9+Q9)*4%</f>
        <v>1462000</v>
      </c>
    </row>
    <row r="32" spans="1:20" x14ac:dyDescent="0.25">
      <c r="A32" s="36">
        <f>(H9+M9+J9+K9+P9+L9+Q9)*4%</f>
        <v>1462000</v>
      </c>
    </row>
    <row r="33" spans="1:1" x14ac:dyDescent="0.25">
      <c r="A33" s="36">
        <f>(H12+M12+J12+K12+P12+L12+Q12)*4%</f>
        <v>993200</v>
      </c>
    </row>
    <row r="34" spans="1:1" x14ac:dyDescent="0.25">
      <c r="A34" s="36">
        <f>(H13+M13+J13+K13+P13+L13+Q13)*4%</f>
        <v>989400</v>
      </c>
    </row>
    <row r="35" spans="1:1" x14ac:dyDescent="0.25">
      <c r="A35" s="36">
        <f>(H14+M14+J14+K14+P14+L14+Q14)*4%</f>
        <v>991400</v>
      </c>
    </row>
    <row r="36" spans="1:1" x14ac:dyDescent="0.25">
      <c r="A36" s="36">
        <f>(H15+M15+J15+K15+P15+L15+Q15)*4%</f>
        <v>990800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A320-94BA-4DFC-A8EB-64BC05C49670}">
  <dimension ref="A1:I29"/>
  <sheetViews>
    <sheetView tabSelected="1" zoomScale="90" zoomScaleNormal="90" workbookViewId="0">
      <selection activeCell="U29" sqref="U29"/>
    </sheetView>
  </sheetViews>
  <sheetFormatPr defaultRowHeight="15" x14ac:dyDescent="0.25"/>
  <cols>
    <col min="1" max="1" width="27.28515625" customWidth="1"/>
    <col min="6" max="6" width="13.140625" customWidth="1"/>
    <col min="7" max="7" width="17.28515625" customWidth="1"/>
    <col min="8" max="8" width="6.85546875" customWidth="1"/>
    <col min="13" max="13" width="9.5703125" customWidth="1"/>
    <col min="14" max="14" width="10.42578125" customWidth="1"/>
  </cols>
  <sheetData>
    <row r="1" spans="1:9" ht="33.75" x14ac:dyDescent="0.5">
      <c r="A1" s="53" t="s">
        <v>63</v>
      </c>
      <c r="I1" s="55" t="s">
        <v>88</v>
      </c>
    </row>
    <row r="2" spans="1:9" x14ac:dyDescent="0.25">
      <c r="I2" s="55">
        <v>3</v>
      </c>
    </row>
    <row r="4" spans="1:9" x14ac:dyDescent="0.25">
      <c r="A4" t="s">
        <v>64</v>
      </c>
      <c r="F4" t="s">
        <v>68</v>
      </c>
      <c r="G4" t="s">
        <v>90</v>
      </c>
    </row>
    <row r="5" spans="1:9" x14ac:dyDescent="0.25">
      <c r="A5" t="s">
        <v>65</v>
      </c>
      <c r="F5" t="s">
        <v>69</v>
      </c>
      <c r="G5" t="str">
        <f>VLOOKUP('SLIP GAJI'!I2,'BASED DATA'!A9:S18,3)</f>
        <v>Giandra</v>
      </c>
    </row>
    <row r="6" spans="1:9" x14ac:dyDescent="0.25">
      <c r="A6" t="s">
        <v>66</v>
      </c>
      <c r="F6" t="s">
        <v>70</v>
      </c>
      <c r="G6" t="str">
        <f>VLOOKUP(I2,'BASED DATA'!A9:S18,5)</f>
        <v>MANAGER</v>
      </c>
    </row>
    <row r="7" spans="1:9" x14ac:dyDescent="0.25">
      <c r="A7" t="s">
        <v>67</v>
      </c>
      <c r="F7" t="s">
        <v>89</v>
      </c>
      <c r="G7" t="str">
        <f>VLOOKUP(I2,'BASED DATA'!A9:S18,4)</f>
        <v>KARYAWAN TETAP</v>
      </c>
    </row>
    <row r="8" spans="1:9" x14ac:dyDescent="0.25">
      <c r="F8" t="s">
        <v>4</v>
      </c>
      <c r="G8" t="str">
        <f>VLOOKUP('SLIP GAJI'!I2,'BASED DATA'!A9:S18,2)</f>
        <v>MR</v>
      </c>
    </row>
    <row r="11" spans="1:9" x14ac:dyDescent="0.25">
      <c r="A11" s="54" t="s">
        <v>71</v>
      </c>
    </row>
    <row r="12" spans="1:9" x14ac:dyDescent="0.25">
      <c r="A12" t="s">
        <v>72</v>
      </c>
      <c r="G12" s="36">
        <f>VLOOKUP(I2,'BASED DATA'!A9:S18,8)</f>
        <v>13000000</v>
      </c>
    </row>
    <row r="13" spans="1:9" x14ac:dyDescent="0.25">
      <c r="A13" t="s">
        <v>73</v>
      </c>
      <c r="G13" s="36">
        <f>VLOOKUP(I2,'BASED DATA'!A9:S18,13)</f>
        <v>6500000</v>
      </c>
    </row>
    <row r="14" spans="1:9" x14ac:dyDescent="0.25">
      <c r="A14" t="s">
        <v>74</v>
      </c>
      <c r="G14" s="36">
        <f>VLOOKUP(I2,'BASED DATA'!A9:S18,10)</f>
        <v>200000</v>
      </c>
    </row>
    <row r="15" spans="1:9" x14ac:dyDescent="0.25">
      <c r="A15" t="s">
        <v>75</v>
      </c>
      <c r="D15" t="s">
        <v>91</v>
      </c>
      <c r="G15" s="36">
        <f>VLOOKUP(I2,'BASED DATA'!A9:S18,11)</f>
        <v>350000</v>
      </c>
    </row>
    <row r="16" spans="1:9" x14ac:dyDescent="0.25">
      <c r="A16" t="s">
        <v>76</v>
      </c>
      <c r="G16" s="36">
        <f>VLOOKUP(I2,'BASED DATA'!A9:S18,14)</f>
        <v>6000000</v>
      </c>
    </row>
    <row r="17" spans="1:7" x14ac:dyDescent="0.25">
      <c r="A17" t="s">
        <v>77</v>
      </c>
      <c r="G17" s="36">
        <f>VLOOKUP(I2,'BASED DATA'!A9:S18,16)</f>
        <v>5000000</v>
      </c>
    </row>
    <row r="18" spans="1:7" x14ac:dyDescent="0.25">
      <c r="A18" t="s">
        <v>78</v>
      </c>
      <c r="G18" s="36">
        <f>VLOOKUP(I2,'BASED DATA'!A9:S18,12)</f>
        <v>11000000</v>
      </c>
    </row>
    <row r="19" spans="1:7" x14ac:dyDescent="0.25">
      <c r="A19" t="s">
        <v>79</v>
      </c>
      <c r="G19" s="36">
        <f>VLOOKUP(I2,'BASED DATA'!A9:S18,17)</f>
        <v>500000</v>
      </c>
    </row>
    <row r="20" spans="1:7" x14ac:dyDescent="0.25">
      <c r="A20" t="s">
        <v>80</v>
      </c>
      <c r="G20" s="36">
        <f>SUM(G12:G19)</f>
        <v>42550000</v>
      </c>
    </row>
    <row r="22" spans="1:7" x14ac:dyDescent="0.25">
      <c r="A22" s="54" t="s">
        <v>81</v>
      </c>
      <c r="B22" s="54"/>
    </row>
    <row r="23" spans="1:7" x14ac:dyDescent="0.25">
      <c r="A23" t="s">
        <v>82</v>
      </c>
    </row>
    <row r="24" spans="1:7" x14ac:dyDescent="0.25">
      <c r="A24" t="s">
        <v>83</v>
      </c>
    </row>
    <row r="25" spans="1:7" x14ac:dyDescent="0.25">
      <c r="A25" t="s">
        <v>84</v>
      </c>
    </row>
    <row r="26" spans="1:7" x14ac:dyDescent="0.25">
      <c r="A26" t="s">
        <v>85</v>
      </c>
    </row>
    <row r="27" spans="1:7" x14ac:dyDescent="0.25">
      <c r="A27" t="s">
        <v>86</v>
      </c>
    </row>
    <row r="29" spans="1:7" x14ac:dyDescent="0.25">
      <c r="A29" s="54" t="s">
        <v>87</v>
      </c>
      <c r="B29" s="54"/>
      <c r="C29" s="54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8</xdr:col>
                    <xdr:colOff>9525</xdr:colOff>
                    <xdr:row>3</xdr:row>
                    <xdr:rowOff>19050</xdr:rowOff>
                  </from>
                  <to>
                    <xdr:col>9</xdr:col>
                    <xdr:colOff>19050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List Box 3">
              <controlPr defaultSize="0" autoLine="0" autoPict="0">
                <anchor moveWithCells="1">
                  <from>
                    <xdr:col>9</xdr:col>
                    <xdr:colOff>28575</xdr:colOff>
                    <xdr:row>3</xdr:row>
                    <xdr:rowOff>0</xdr:rowOff>
                  </from>
                  <to>
                    <xdr:col>11</xdr:col>
                    <xdr:colOff>9525</xdr:colOff>
                    <xdr:row>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BASED DATA</vt:lpstr>
      <vt:lpstr>SLIP GAJI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2024-11-06T06:28:20Z</dcterms:created>
  <dcterms:modified xsi:type="dcterms:W3CDTF">2026-04-01T08:09:51Z</dcterms:modified>
</cp:coreProperties>
</file>