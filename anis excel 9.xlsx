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INFORMATIKA 2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1" l="1"/>
  <c r="G17" i="1"/>
  <c r="G16" i="1"/>
  <c r="G15" i="1"/>
  <c r="G14" i="1"/>
  <c r="G13" i="1"/>
  <c r="G12" i="1"/>
  <c r="G11" i="1"/>
  <c r="G10" i="1"/>
  <c r="G9" i="1"/>
  <c r="F9" i="1"/>
  <c r="F10" i="1"/>
  <c r="F11" i="1"/>
  <c r="F12" i="1"/>
  <c r="F13" i="1"/>
  <c r="F14" i="1"/>
  <c r="F15" i="1"/>
  <c r="F16" i="1"/>
  <c r="F17" i="1"/>
  <c r="F18" i="1"/>
  <c r="E18" i="1"/>
  <c r="E17" i="1"/>
  <c r="E16" i="1"/>
  <c r="E15" i="1"/>
  <c r="E14" i="1"/>
  <c r="E13" i="1"/>
  <c r="E12" i="1"/>
  <c r="E11" i="1"/>
  <c r="E9" i="1"/>
  <c r="E10" i="1"/>
  <c r="D18" i="1"/>
  <c r="D17" i="1"/>
  <c r="D16" i="1"/>
  <c r="D15" i="1"/>
  <c r="D14" i="1"/>
  <c r="D13" i="1"/>
  <c r="D12" i="1"/>
  <c r="D11" i="1"/>
  <c r="D10" i="1"/>
  <c r="D9" i="1"/>
  <c r="C18" i="1"/>
  <c r="C17" i="1"/>
  <c r="C16" i="1"/>
  <c r="C15" i="1"/>
  <c r="C14" i="1"/>
  <c r="C13" i="1"/>
  <c r="C12" i="1"/>
  <c r="C11" i="1"/>
  <c r="C10" i="1"/>
  <c r="C9" i="1"/>
</calcChain>
</file>

<file path=xl/sharedStrings.xml><?xml version="1.0" encoding="utf-8"?>
<sst xmlns="http://schemas.openxmlformats.org/spreadsheetml/2006/main" count="27" uniqueCount="26">
  <si>
    <t>`</t>
  </si>
  <si>
    <t>CONSULTAN &amp; CONTRACTOR CORPORATION</t>
  </si>
  <si>
    <t>LAPORAN UPAH HARIAN</t>
  </si>
  <si>
    <t>BULAN AGUSTUS 2024</t>
  </si>
  <si>
    <t>TARIF UPAH / JAM</t>
  </si>
  <si>
    <t>NO</t>
  </si>
  <si>
    <t>NAMA</t>
  </si>
  <si>
    <t>KARYAWAN</t>
  </si>
  <si>
    <t>JAM</t>
  </si>
  <si>
    <t>MASUK</t>
  </si>
  <si>
    <t>PULANG</t>
  </si>
  <si>
    <t>JML JAM</t>
  </si>
  <si>
    <t>KERJA</t>
  </si>
  <si>
    <t>KONVERSI JAM</t>
  </si>
  <si>
    <t>UPAH</t>
  </si>
  <si>
    <t>(Rp)</t>
  </si>
  <si>
    <t>Murayana</t>
  </si>
  <si>
    <t>Komura</t>
  </si>
  <si>
    <t>Sakukurata</t>
  </si>
  <si>
    <t>Hashimoto</t>
  </si>
  <si>
    <t>Takesita</t>
  </si>
  <si>
    <t>Fujimori</t>
  </si>
  <si>
    <t>Takasimura</t>
  </si>
  <si>
    <t>Dae Yung</t>
  </si>
  <si>
    <t>Young Sun</t>
  </si>
  <si>
    <t>Sun Nakata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</si>
</sst>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Rp&quot;* #,##0_-;\-&quot;Rp&quot;* #,##0_-;_-&quot;Rp&quot;* &quot;-&quot;_-;_-@_-"/>
    <numFmt numFmtId="164" formatCode="0.0"/>
    <numFmt numFmtId="165" formatCode="h\,mm&quot;jam&quot;"/>
    <numFmt numFmtId="168" formatCode="_-&quot;Rp&quot;* #,##0.0_-;\-&quot;Rp&quot;* #,##0.0_-;_-&quot;Rp&quot;* &quot;-&quot;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8" fontId="0" fillId="0" borderId="1" xfId="0" applyNumberFormat="1" applyBorder="1"/>
    <xf numFmtId="165" fontId="0" fillId="0" borderId="1" xfId="0" applyNumberFormat="1" applyBorder="1"/>
    <xf numFmtId="164" fontId="0" fillId="0" borderId="1" xfId="0" applyNumberFormat="1" applyBorder="1"/>
    <xf numFmtId="168" fontId="0" fillId="0" borderId="1" xfId="0" applyNumberFormat="1" applyBorder="1"/>
    <xf numFmtId="42" fontId="0" fillId="0" borderId="1" xfId="0" applyNumberFormat="1" applyBorder="1"/>
    <xf numFmtId="0" fontId="0" fillId="0" borderId="1" xfId="0" applyBorder="1" applyAlignment="1">
      <alignment horizontal="left" indent="9"/>
    </xf>
    <xf numFmtId="0" fontId="0" fillId="0" borderId="0" xfId="0" applyAlignment="1">
      <alignment horizontal="left" indent="2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showGridLines="0" tabSelected="1" workbookViewId="0">
      <selection activeCell="C2" sqref="C2"/>
    </sheetView>
  </sheetViews>
  <sheetFormatPr defaultRowHeight="15" x14ac:dyDescent="0.25"/>
  <cols>
    <col min="2" max="2" width="31.7109375" customWidth="1"/>
    <col min="3" max="3" width="13.42578125" customWidth="1"/>
    <col min="4" max="4" width="12.140625" customWidth="1"/>
    <col min="5" max="5" width="13.42578125" customWidth="1"/>
    <col min="6" max="6" width="15.7109375" customWidth="1"/>
    <col min="7" max="7" width="12.85546875" customWidth="1"/>
  </cols>
  <sheetData>
    <row r="1" spans="1:7" x14ac:dyDescent="0.25">
      <c r="A1" s="11" t="s">
        <v>1</v>
      </c>
      <c r="B1" s="10"/>
      <c r="C1" t="s">
        <v>0</v>
      </c>
    </row>
    <row r="2" spans="1:7" x14ac:dyDescent="0.25">
      <c r="A2" s="11" t="s">
        <v>2</v>
      </c>
      <c r="B2" s="10"/>
    </row>
    <row r="3" spans="1:7" x14ac:dyDescent="0.25">
      <c r="A3" s="11" t="s">
        <v>3</v>
      </c>
      <c r="B3" s="10"/>
      <c r="G3" s="11"/>
    </row>
    <row r="5" spans="1:7" x14ac:dyDescent="0.25">
      <c r="A5" s="2" t="s">
        <v>4</v>
      </c>
      <c r="B5" s="2"/>
      <c r="C5" s="7">
        <v>22500</v>
      </c>
      <c r="E5" s="9"/>
    </row>
    <row r="7" spans="1:7" x14ac:dyDescent="0.25">
      <c r="A7" s="1" t="s">
        <v>5</v>
      </c>
      <c r="B7" s="1" t="s">
        <v>6</v>
      </c>
      <c r="C7" s="8" t="s">
        <v>8</v>
      </c>
      <c r="D7" s="2"/>
      <c r="E7" s="1" t="s">
        <v>11</v>
      </c>
      <c r="F7" s="1" t="s">
        <v>13</v>
      </c>
      <c r="G7" s="1" t="s">
        <v>14</v>
      </c>
    </row>
    <row r="8" spans="1:7" x14ac:dyDescent="0.25">
      <c r="A8" s="2"/>
      <c r="B8" s="1" t="s">
        <v>7</v>
      </c>
      <c r="C8" s="1" t="s">
        <v>9</v>
      </c>
      <c r="D8" s="1" t="s">
        <v>10</v>
      </c>
      <c r="E8" s="1" t="s">
        <v>12</v>
      </c>
      <c r="F8" s="1" t="s">
        <v>12</v>
      </c>
      <c r="G8" s="1" t="s">
        <v>15</v>
      </c>
    </row>
    <row r="9" spans="1:7" x14ac:dyDescent="0.25">
      <c r="A9" s="2">
        <v>1</v>
      </c>
      <c r="B9" s="2" t="s">
        <v>16</v>
      </c>
      <c r="C9" s="3">
        <f>TIME(8,15,0)</f>
        <v>0.34375</v>
      </c>
      <c r="D9" s="3">
        <f>TIME(16,45,0)</f>
        <v>0.69791666666666663</v>
      </c>
      <c r="E9" s="4">
        <f>IF(D9&gt;C9,D9-C9,"")</f>
        <v>0.35416666666666663</v>
      </c>
      <c r="F9" s="5">
        <f>(D9-C9)*24</f>
        <v>8.5</v>
      </c>
      <c r="G9" s="6">
        <f>F9*C5</f>
        <v>191250</v>
      </c>
    </row>
    <row r="10" spans="1:7" x14ac:dyDescent="0.25">
      <c r="A10" s="2">
        <v>2</v>
      </c>
      <c r="B10" s="2" t="s">
        <v>17</v>
      </c>
      <c r="C10" s="3">
        <f>TIME(8,10,0)</f>
        <v>0.34027777777777773</v>
      </c>
      <c r="D10" s="3">
        <f>TIME(17,47,0)</f>
        <v>0.74097222222222225</v>
      </c>
      <c r="E10" s="4">
        <f>IF(D10&gt;C10,D10-C10,"")</f>
        <v>0.40069444444444452</v>
      </c>
      <c r="F10" s="5">
        <f t="shared" ref="F10:F18" si="0">(D10-C10)*24</f>
        <v>9.6166666666666689</v>
      </c>
      <c r="G10" s="6">
        <f>F10*C5</f>
        <v>216375.00000000006</v>
      </c>
    </row>
    <row r="11" spans="1:7" x14ac:dyDescent="0.25">
      <c r="A11" s="2">
        <v>3</v>
      </c>
      <c r="B11" s="2" t="s">
        <v>18</v>
      </c>
      <c r="C11" s="3">
        <f>TIME(8,14,0)</f>
        <v>0.3430555555555555</v>
      </c>
      <c r="D11" s="3">
        <f>TIME(17,55,0)</f>
        <v>0.74652777777777779</v>
      </c>
      <c r="E11" s="4">
        <f>IF(D11&gt;C11,D11-C11,"")</f>
        <v>0.40347222222222229</v>
      </c>
      <c r="F11" s="5">
        <f t="shared" si="0"/>
        <v>9.6833333333333353</v>
      </c>
      <c r="G11" s="6">
        <f>F11*C5</f>
        <v>217875.00000000006</v>
      </c>
    </row>
    <row r="12" spans="1:7" x14ac:dyDescent="0.25">
      <c r="A12" s="2">
        <v>4</v>
      </c>
      <c r="B12" s="2" t="s">
        <v>19</v>
      </c>
      <c r="C12" s="3">
        <f>TIME(8,15,0)</f>
        <v>0.34375</v>
      </c>
      <c r="D12" s="3">
        <f>TIME(16,30,0)</f>
        <v>0.6875</v>
      </c>
      <c r="E12" s="4">
        <f>IF(D12&gt;C12,D12-C12,"")</f>
        <v>0.34375</v>
      </c>
      <c r="F12" s="5">
        <f t="shared" si="0"/>
        <v>8.25</v>
      </c>
      <c r="G12" s="6">
        <f>F12*C5</f>
        <v>185625</v>
      </c>
    </row>
    <row r="13" spans="1:7" x14ac:dyDescent="0.25">
      <c r="A13" s="2">
        <v>5</v>
      </c>
      <c r="B13" s="2" t="s">
        <v>20</v>
      </c>
      <c r="C13" s="3">
        <f>TIME(7,15,0)</f>
        <v>0.30208333333333331</v>
      </c>
      <c r="D13" s="3">
        <f>TIME(18,30,0)</f>
        <v>0.77083333333333337</v>
      </c>
      <c r="E13" s="4">
        <f>IF(D13&gt;C13,D13-C13,"")</f>
        <v>0.46875000000000006</v>
      </c>
      <c r="F13" s="5">
        <f t="shared" si="0"/>
        <v>11.250000000000002</v>
      </c>
      <c r="G13" s="6">
        <f>F13*C5</f>
        <v>253125.00000000003</v>
      </c>
    </row>
    <row r="14" spans="1:7" x14ac:dyDescent="0.25">
      <c r="A14" s="2">
        <v>6</v>
      </c>
      <c r="B14" s="2" t="s">
        <v>21</v>
      </c>
      <c r="C14" s="3">
        <f>TIME(8,0,0)</f>
        <v>0.33333333333333331</v>
      </c>
      <c r="D14" s="3">
        <f>TIME(16,15,0)</f>
        <v>0.67708333333333337</v>
      </c>
      <c r="E14" s="4">
        <f>IF(D14&gt;C14,D14-C14,"")</f>
        <v>0.34375000000000006</v>
      </c>
      <c r="F14" s="5">
        <f t="shared" si="0"/>
        <v>8.2500000000000018</v>
      </c>
      <c r="G14" s="6">
        <f>F14*C5</f>
        <v>185625.00000000003</v>
      </c>
    </row>
    <row r="15" spans="1:7" x14ac:dyDescent="0.25">
      <c r="A15" s="2">
        <v>7</v>
      </c>
      <c r="B15" s="2" t="s">
        <v>22</v>
      </c>
      <c r="C15" s="3">
        <f>TIME(8,15,0)</f>
        <v>0.34375</v>
      </c>
      <c r="D15" s="3">
        <f>TIME(17,45,0)</f>
        <v>0.73958333333333337</v>
      </c>
      <c r="E15" s="4">
        <f>IF(D15&gt;C15,D15-C15,"")</f>
        <v>0.39583333333333337</v>
      </c>
      <c r="F15" s="5">
        <f t="shared" si="0"/>
        <v>9.5</v>
      </c>
      <c r="G15" s="6">
        <f>F15*C5</f>
        <v>213750</v>
      </c>
    </row>
    <row r="16" spans="1:7" x14ac:dyDescent="0.25">
      <c r="A16" s="2">
        <v>8</v>
      </c>
      <c r="B16" s="2" t="s">
        <v>23</v>
      </c>
      <c r="C16" s="3">
        <f>TIME(7,55,0)</f>
        <v>0.3298611111111111</v>
      </c>
      <c r="D16" s="3">
        <f>TIME(17,35,0)</f>
        <v>0.73263888888888884</v>
      </c>
      <c r="E16" s="4">
        <f>IF(D16&gt;C16,D16-C16,"")</f>
        <v>0.40277777777777773</v>
      </c>
      <c r="F16" s="5">
        <f t="shared" si="0"/>
        <v>9.6666666666666661</v>
      </c>
      <c r="G16" s="6">
        <f>F16*C5</f>
        <v>217500</v>
      </c>
    </row>
    <row r="17" spans="1:7" x14ac:dyDescent="0.25">
      <c r="A17" s="2">
        <v>9</v>
      </c>
      <c r="B17" s="2" t="s">
        <v>24</v>
      </c>
      <c r="C17" s="3">
        <f>TIME(8,0,0)</f>
        <v>0.33333333333333331</v>
      </c>
      <c r="D17" s="3">
        <f>TIME(17,55,0)</f>
        <v>0.74652777777777779</v>
      </c>
      <c r="E17" s="4">
        <f>IF(D17&gt;C17,D17-C17,"")</f>
        <v>0.41319444444444448</v>
      </c>
      <c r="F17" s="5">
        <f t="shared" si="0"/>
        <v>9.9166666666666679</v>
      </c>
      <c r="G17" s="6">
        <f>F17*C5</f>
        <v>223125.00000000003</v>
      </c>
    </row>
    <row r="18" spans="1:7" x14ac:dyDescent="0.25">
      <c r="A18" s="2">
        <v>10</v>
      </c>
      <c r="B18" s="2" t="s">
        <v>25</v>
      </c>
      <c r="C18" s="3">
        <f>TIME(7,0,0)</f>
        <v>0.29166666666666669</v>
      </c>
      <c r="D18" s="3">
        <f>TIME(17,55,0)</f>
        <v>0.74652777777777779</v>
      </c>
      <c r="E18" s="4">
        <f>IF(D18&gt;C18,D18-C18,"")</f>
        <v>0.4548611111111111</v>
      </c>
      <c r="F18" s="5">
        <f t="shared" si="0"/>
        <v>10.916666666666666</v>
      </c>
      <c r="G18" s="6">
        <f>F18*C5</f>
        <v>245625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Portabel Comp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2024-09-05T05:51:23Z</dcterms:created>
  <dcterms:modified xsi:type="dcterms:W3CDTF">2024-09-05T06:57:10Z</dcterms:modified>
</cp:coreProperties>
</file>